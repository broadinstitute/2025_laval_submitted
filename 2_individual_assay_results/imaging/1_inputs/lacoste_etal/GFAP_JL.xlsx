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/Library/CloudStorage/Dropbox/Mikko Desktop/Manuscripts/Lacoste 2024/analysis/"/>
    </mc:Choice>
  </mc:AlternateContent>
  <xr:revisionPtr revIDLastSave="0" documentId="13_ncr:1_{317165C2-A881-EA4C-8619-8979B0CCF383}" xr6:coauthVersionLast="47" xr6:coauthVersionMax="47" xr10:uidLastSave="{00000000-0000-0000-0000-000000000000}"/>
  <bookViews>
    <workbookView xWindow="-6620" yWindow="-26640" windowWidth="45560" windowHeight="22360" activeTab="2" xr2:uid="{9367463E-24C6-9F48-BAFF-B71B8B259FAD}"/>
  </bookViews>
  <sheets>
    <sheet name="1st rep" sheetId="2" r:id="rId1"/>
    <sheet name="2nd rep May 17" sheetId="1" r:id="rId2"/>
    <sheet name="Average" sheetId="4" r:id="rId3"/>
    <sheet name="Location annotations" sheetId="3" r:id="rId4"/>
    <sheet name="Phenotyp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4" l="1"/>
  <c r="R43" i="4"/>
  <c r="E227" i="5"/>
  <c r="E380" i="5"/>
  <c r="E379" i="5"/>
  <c r="E378" i="5"/>
  <c r="E377" i="5"/>
  <c r="E270" i="5"/>
  <c r="E368" i="5"/>
  <c r="E333" i="5"/>
  <c r="E334" i="5"/>
  <c r="E332" i="5"/>
  <c r="E331" i="5"/>
  <c r="E330" i="5"/>
  <c r="E329" i="5"/>
  <c r="E366" i="5"/>
  <c r="E296" i="5"/>
  <c r="E233" i="5"/>
  <c r="E192" i="5"/>
  <c r="E195" i="5"/>
  <c r="E194" i="5"/>
  <c r="E193" i="5"/>
  <c r="E269" i="5"/>
  <c r="E268" i="5"/>
  <c r="E365" i="5"/>
  <c r="E360" i="5"/>
  <c r="E359" i="5"/>
  <c r="E358" i="5"/>
  <c r="E357" i="5"/>
  <c r="E364" i="5"/>
  <c r="E363" i="5"/>
  <c r="E191" i="5"/>
  <c r="E356" i="5"/>
  <c r="E355" i="5"/>
  <c r="E291" i="5"/>
  <c r="E290" i="5"/>
  <c r="E289" i="5"/>
  <c r="E288" i="5"/>
  <c r="E287" i="5"/>
  <c r="E286" i="5"/>
  <c r="E285" i="5"/>
  <c r="E284" i="5"/>
  <c r="E283" i="5"/>
  <c r="E282" i="5"/>
  <c r="E281" i="5"/>
  <c r="E354" i="5"/>
  <c r="E353" i="5"/>
  <c r="E352" i="5"/>
  <c r="E351" i="5"/>
  <c r="E362" i="5"/>
  <c r="E327" i="5"/>
  <c r="E328" i="5"/>
  <c r="E326" i="5"/>
  <c r="E325" i="5"/>
  <c r="E324" i="5"/>
  <c r="E221" i="5"/>
  <c r="E220" i="5"/>
  <c r="E219" i="5"/>
  <c r="E218" i="5"/>
  <c r="E217" i="5"/>
  <c r="E216" i="5"/>
  <c r="E215" i="5"/>
  <c r="E214" i="5"/>
  <c r="E265" i="5"/>
  <c r="E376" i="5"/>
  <c r="E375" i="5"/>
  <c r="E180" i="5"/>
  <c r="E179" i="5"/>
  <c r="E237" i="5"/>
  <c r="E236" i="5"/>
  <c r="E213" i="5"/>
  <c r="E212" i="5"/>
  <c r="E211" i="5"/>
  <c r="E190" i="5"/>
  <c r="E189" i="5"/>
  <c r="E188" i="5"/>
  <c r="E264" i="5"/>
  <c r="E263" i="5"/>
  <c r="E262" i="5"/>
  <c r="E178" i="5"/>
  <c r="E261" i="5"/>
  <c r="E260" i="5"/>
  <c r="E259" i="5"/>
  <c r="E258" i="5"/>
  <c r="E257" i="5"/>
  <c r="E187" i="5"/>
  <c r="E173" i="5"/>
  <c r="E256" i="5"/>
  <c r="E255" i="5"/>
  <c r="E254" i="5"/>
  <c r="E253" i="5"/>
  <c r="E232" i="5"/>
  <c r="E210" i="5"/>
  <c r="E322" i="5"/>
  <c r="E209" i="5"/>
  <c r="E323" i="5"/>
  <c r="E208" i="5"/>
  <c r="E207" i="5"/>
  <c r="E206" i="5"/>
  <c r="E231" i="5"/>
  <c r="E295" i="5"/>
  <c r="E235" i="5"/>
  <c r="E186" i="5"/>
  <c r="E242" i="5"/>
  <c r="E321" i="5"/>
  <c r="E320" i="5"/>
  <c r="E319" i="5"/>
  <c r="E318" i="5"/>
  <c r="E317" i="5"/>
  <c r="E316" i="5"/>
  <c r="E315" i="5"/>
  <c r="E312" i="5"/>
  <c r="E314" i="5"/>
  <c r="E313" i="5"/>
  <c r="E177" i="5"/>
  <c r="E176" i="5"/>
  <c r="E175" i="5"/>
  <c r="E174" i="5"/>
  <c r="E252" i="5"/>
  <c r="E251" i="5"/>
  <c r="E241" i="5"/>
  <c r="E311" i="5"/>
  <c r="E309" i="5"/>
  <c r="E308" i="5"/>
  <c r="E307" i="5"/>
  <c r="E310" i="5"/>
  <c r="E306" i="5"/>
  <c r="E305" i="5"/>
  <c r="E304" i="5"/>
  <c r="E374" i="5"/>
  <c r="E350" i="5"/>
  <c r="E349" i="5"/>
  <c r="E205" i="5"/>
  <c r="E373" i="5"/>
  <c r="E303" i="5"/>
  <c r="E302" i="5"/>
  <c r="E301" i="5"/>
  <c r="E240" i="5"/>
  <c r="E250" i="5"/>
  <c r="E249" i="5"/>
  <c r="E204" i="5"/>
  <c r="E203" i="5"/>
  <c r="E202" i="5"/>
  <c r="E201" i="5"/>
  <c r="E200" i="5"/>
  <c r="E234" i="5"/>
  <c r="E239" i="5"/>
  <c r="E300" i="5"/>
  <c r="E299" i="5"/>
  <c r="E199" i="5"/>
  <c r="E185" i="5"/>
  <c r="E184" i="5"/>
  <c r="E183" i="5"/>
  <c r="E182" i="5"/>
  <c r="E348" i="5"/>
  <c r="E347" i="5"/>
  <c r="E346" i="5"/>
  <c r="E344" i="5"/>
  <c r="E345" i="5"/>
  <c r="E298" i="5"/>
  <c r="E248" i="5"/>
  <c r="E247" i="5"/>
  <c r="E367" i="5"/>
  <c r="E361" i="5"/>
  <c r="E297" i="5"/>
  <c r="E280" i="5"/>
  <c r="E246" i="5"/>
  <c r="E181" i="5"/>
  <c r="E372" i="5"/>
  <c r="E371" i="5"/>
  <c r="E370" i="5"/>
  <c r="E369" i="5"/>
  <c r="E245" i="5"/>
  <c r="E244" i="5"/>
  <c r="E243" i="5"/>
  <c r="E238" i="5"/>
  <c r="E229" i="5"/>
  <c r="E228" i="5"/>
  <c r="E343" i="5"/>
  <c r="E342" i="5"/>
  <c r="E198" i="5"/>
  <c r="E197" i="5"/>
  <c r="E196" i="5"/>
  <c r="E294" i="5"/>
  <c r="E293" i="5"/>
  <c r="E292" i="5"/>
  <c r="E267" i="5"/>
  <c r="E279" i="5"/>
  <c r="E278" i="5"/>
  <c r="E277" i="5"/>
  <c r="E276" i="5"/>
  <c r="E275" i="5"/>
  <c r="E274" i="5"/>
  <c r="E273" i="5"/>
  <c r="E272" i="5"/>
  <c r="E271" i="5"/>
  <c r="E226" i="5"/>
  <c r="E225" i="5"/>
  <c r="E224" i="5"/>
  <c r="E223" i="5"/>
  <c r="E222" i="5"/>
  <c r="E341" i="5"/>
  <c r="E340" i="5"/>
  <c r="E339" i="5"/>
  <c r="E338" i="5"/>
  <c r="E337" i="5"/>
  <c r="E336" i="5"/>
  <c r="E335" i="5"/>
  <c r="E266" i="5"/>
  <c r="E230" i="5"/>
  <c r="E10" i="5"/>
  <c r="E9" i="5"/>
  <c r="E98" i="5"/>
  <c r="E26" i="5"/>
  <c r="E96" i="5"/>
  <c r="E95" i="5"/>
  <c r="E94" i="5"/>
  <c r="E93" i="5"/>
  <c r="E25" i="5"/>
  <c r="E24" i="5"/>
  <c r="E5" i="5"/>
  <c r="E106" i="5"/>
  <c r="E105" i="5"/>
  <c r="E88" i="5"/>
  <c r="E99" i="5"/>
  <c r="E23" i="5"/>
  <c r="E56" i="5"/>
  <c r="E55" i="5"/>
  <c r="E8" i="5"/>
  <c r="E54" i="5"/>
  <c r="E52" i="5"/>
  <c r="E91" i="5"/>
  <c r="E51" i="5"/>
  <c r="E13" i="5"/>
  <c r="E64" i="5"/>
  <c r="E92" i="5"/>
  <c r="E42" i="5"/>
  <c r="E65" i="5"/>
  <c r="E14" i="5"/>
  <c r="E53" i="5"/>
  <c r="E58" i="5"/>
  <c r="E82" i="5"/>
  <c r="E81" i="5"/>
  <c r="E80" i="5"/>
  <c r="E79" i="5"/>
  <c r="E109" i="5"/>
  <c r="E108" i="5"/>
  <c r="E107" i="5"/>
  <c r="E27" i="5"/>
  <c r="E100" i="5"/>
  <c r="E87" i="5"/>
  <c r="E86" i="5"/>
  <c r="E85" i="5"/>
  <c r="E68" i="5"/>
  <c r="E15" i="5"/>
  <c r="E67" i="5"/>
  <c r="E16" i="5"/>
  <c r="E3" i="5"/>
  <c r="E4" i="5"/>
  <c r="E19" i="5"/>
  <c r="E83" i="5"/>
  <c r="E121" i="5"/>
  <c r="E120" i="5"/>
  <c r="E119" i="5"/>
  <c r="E118" i="5"/>
  <c r="E32" i="5"/>
  <c r="E117" i="5"/>
  <c r="E31" i="5"/>
  <c r="E116" i="5"/>
  <c r="E30" i="5"/>
  <c r="E115" i="5"/>
  <c r="E114" i="5"/>
  <c r="E113" i="5"/>
  <c r="E112" i="5"/>
  <c r="E21" i="5"/>
  <c r="E57" i="5"/>
  <c r="E28" i="5"/>
  <c r="E111" i="5"/>
  <c r="E29" i="5"/>
  <c r="E110" i="5"/>
  <c r="E22" i="5"/>
  <c r="E63" i="5"/>
  <c r="E172" i="5"/>
  <c r="E171" i="5"/>
  <c r="E170" i="5"/>
  <c r="E169" i="5"/>
  <c r="E168" i="5"/>
  <c r="E167" i="5"/>
  <c r="E41" i="5"/>
  <c r="E166" i="5"/>
  <c r="E165" i="5"/>
  <c r="E164" i="5"/>
  <c r="E163" i="5"/>
  <c r="E162" i="5"/>
  <c r="E161" i="5"/>
  <c r="E160" i="5"/>
  <c r="E159" i="5"/>
  <c r="E158" i="5"/>
  <c r="E69" i="5"/>
  <c r="E50" i="5"/>
  <c r="E49" i="5"/>
  <c r="E48" i="5"/>
  <c r="E47" i="5"/>
  <c r="E46" i="5"/>
  <c r="E45" i="5"/>
  <c r="E44" i="5"/>
  <c r="E43" i="5"/>
  <c r="E66" i="5"/>
  <c r="E7" i="5"/>
  <c r="E78" i="5"/>
  <c r="E17" i="5"/>
  <c r="E77" i="5"/>
  <c r="E76" i="5"/>
  <c r="E75" i="5"/>
  <c r="E74" i="5"/>
  <c r="E73" i="5"/>
  <c r="E18" i="5"/>
  <c r="E72" i="5"/>
  <c r="E71" i="5"/>
  <c r="E70" i="5"/>
  <c r="E134" i="5"/>
  <c r="E133" i="5"/>
  <c r="E132" i="5"/>
  <c r="E131" i="5"/>
  <c r="E130" i="5"/>
  <c r="E129" i="5"/>
  <c r="E128" i="5"/>
  <c r="E35" i="5"/>
  <c r="E127" i="5"/>
  <c r="E126" i="5"/>
  <c r="E125" i="5"/>
  <c r="E36" i="5"/>
  <c r="E124" i="5"/>
  <c r="E123" i="5"/>
  <c r="E34" i="5"/>
  <c r="E122" i="5"/>
  <c r="E33" i="5"/>
  <c r="E157" i="5"/>
  <c r="E39" i="5"/>
  <c r="E156" i="5"/>
  <c r="E155" i="5"/>
  <c r="E154" i="5"/>
  <c r="E153" i="5"/>
  <c r="E152" i="5"/>
  <c r="E40" i="5"/>
  <c r="E151" i="5"/>
  <c r="E150" i="5"/>
  <c r="E149" i="5"/>
  <c r="E148" i="5"/>
  <c r="E62" i="5"/>
  <c r="E61" i="5"/>
  <c r="E60" i="5"/>
  <c r="E11" i="5"/>
  <c r="E59" i="5"/>
  <c r="E2" i="5"/>
  <c r="E104" i="5"/>
  <c r="E103" i="5"/>
  <c r="E102" i="5"/>
  <c r="E101" i="5"/>
  <c r="E97" i="5"/>
  <c r="E6" i="5"/>
  <c r="E147" i="5"/>
  <c r="E146" i="5"/>
  <c r="E145" i="5"/>
  <c r="E37" i="5"/>
  <c r="E144" i="5"/>
  <c r="E143" i="5"/>
  <c r="E142" i="5"/>
  <c r="E38" i="5"/>
  <c r="E141" i="5"/>
  <c r="E140" i="5"/>
  <c r="E139" i="5"/>
  <c r="E138" i="5"/>
  <c r="E137" i="5"/>
  <c r="E136" i="5"/>
  <c r="E135" i="5"/>
  <c r="E90" i="5"/>
  <c r="E89" i="5"/>
  <c r="E20" i="5"/>
  <c r="E84" i="5"/>
  <c r="E12" i="5"/>
  <c r="Q56" i="4"/>
  <c r="Q42" i="4"/>
  <c r="Q41" i="4"/>
  <c r="Q6" i="4"/>
  <c r="Q55" i="4"/>
  <c r="Q40" i="4"/>
  <c r="Q54" i="4"/>
  <c r="Q53" i="4"/>
  <c r="Q52" i="4"/>
  <c r="Q51" i="4"/>
  <c r="Q50" i="4"/>
  <c r="Q49" i="4"/>
  <c r="Q48" i="4"/>
  <c r="Q47" i="4"/>
  <c r="Q46" i="4"/>
  <c r="Q45" i="4"/>
  <c r="Q44" i="4"/>
  <c r="Q39" i="4"/>
  <c r="Q38" i="4"/>
  <c r="Q37" i="4"/>
  <c r="Q36" i="4"/>
  <c r="Q35" i="4"/>
  <c r="Q34" i="4"/>
  <c r="Q3" i="4"/>
  <c r="Q4" i="4"/>
  <c r="Q5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2" i="4"/>
  <c r="R3" i="4"/>
  <c r="R4" i="4"/>
  <c r="R5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4" i="4"/>
  <c r="R35" i="4"/>
  <c r="R36" i="4"/>
  <c r="R37" i="4"/>
  <c r="R38" i="4"/>
  <c r="R39" i="4"/>
  <c r="R44" i="4"/>
  <c r="R45" i="4"/>
  <c r="R46" i="4"/>
  <c r="R47" i="4"/>
  <c r="R48" i="4"/>
  <c r="R49" i="4"/>
  <c r="R50" i="4"/>
  <c r="R51" i="4"/>
  <c r="R52" i="4"/>
  <c r="R53" i="4"/>
  <c r="R54" i="4"/>
  <c r="R40" i="4"/>
  <c r="R55" i="4"/>
  <c r="R6" i="4"/>
  <c r="R41" i="4"/>
  <c r="R42" i="4"/>
  <c r="R56" i="4"/>
  <c r="R2" i="4"/>
  <c r="H3" i="5" l="1"/>
  <c r="H5" i="5"/>
  <c r="I15" i="5"/>
  <c r="H15" i="5" s="1"/>
  <c r="H4" i="5"/>
  <c r="I32" i="5"/>
  <c r="H32" i="5" s="1"/>
  <c r="H31" i="5"/>
  <c r="H28" i="5"/>
  <c r="I41" i="5"/>
  <c r="H41" i="5" s="1"/>
  <c r="I17" i="5"/>
  <c r="H17" i="5" s="1"/>
  <c r="I35" i="5"/>
  <c r="H35" i="5" s="1"/>
  <c r="H36" i="5"/>
  <c r="H33" i="5"/>
  <c r="I39" i="5"/>
  <c r="H39" i="5" s="1"/>
  <c r="I40" i="5"/>
  <c r="H40" i="5" s="1"/>
  <c r="I38" i="5"/>
  <c r="H38" i="5" s="1"/>
  <c r="I37" i="5"/>
  <c r="H37" i="5" s="1"/>
  <c r="H20" i="5"/>
  <c r="I20" i="5" s="1"/>
  <c r="H6" i="5"/>
  <c r="I10" i="5"/>
  <c r="I26" i="5"/>
  <c r="I9" i="5"/>
  <c r="I14" i="5"/>
  <c r="I16" i="5"/>
  <c r="I21" i="5"/>
  <c r="H23" i="5"/>
  <c r="I23" i="5" s="1"/>
  <c r="H13" i="5"/>
  <c r="I13" i="5" s="1"/>
  <c r="H27" i="5"/>
  <c r="I27" i="5" s="1"/>
  <c r="H30" i="5"/>
  <c r="I30" i="5" s="1"/>
  <c r="H22" i="5"/>
  <c r="I22" i="5" s="1"/>
  <c r="H7" i="5"/>
  <c r="I7" i="5" s="1"/>
  <c r="H34" i="5"/>
  <c r="I34" i="5" s="1"/>
  <c r="H2" i="5"/>
  <c r="I2" i="5" s="1"/>
  <c r="I11" i="5"/>
  <c r="I12" i="5"/>
  <c r="L15" i="1"/>
  <c r="K15" i="1"/>
  <c r="J15" i="1"/>
  <c r="P3" i="4"/>
  <c r="P4" i="4"/>
  <c r="P5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4" i="4"/>
  <c r="P35" i="4"/>
  <c r="P36" i="4"/>
  <c r="P37" i="4"/>
  <c r="P38" i="4"/>
  <c r="P39" i="4"/>
  <c r="P8" i="4"/>
  <c r="P9" i="4"/>
  <c r="P10" i="4"/>
  <c r="P44" i="4"/>
  <c r="P45" i="4"/>
  <c r="P46" i="4"/>
  <c r="P47" i="4"/>
  <c r="P48" i="4"/>
  <c r="P49" i="4"/>
  <c r="P50" i="4"/>
  <c r="P51" i="4"/>
  <c r="P52" i="4"/>
  <c r="P53" i="4"/>
  <c r="P54" i="4"/>
  <c r="P40" i="4"/>
  <c r="P55" i="4"/>
  <c r="P6" i="4"/>
  <c r="P41" i="4"/>
  <c r="P42" i="4"/>
  <c r="P11" i="4"/>
  <c r="P12" i="4"/>
  <c r="P7" i="4"/>
  <c r="P56" i="4"/>
  <c r="P2" i="4"/>
  <c r="W62" i="3"/>
  <c r="J62" i="3"/>
  <c r="I62" i="3"/>
  <c r="W61" i="3"/>
  <c r="J61" i="3"/>
  <c r="I61" i="3"/>
  <c r="W60" i="3"/>
  <c r="J60" i="3"/>
  <c r="I60" i="3"/>
  <c r="W59" i="3"/>
  <c r="J59" i="3"/>
  <c r="I59" i="3"/>
  <c r="W58" i="3"/>
  <c r="J58" i="3"/>
  <c r="I58" i="3"/>
  <c r="W57" i="3"/>
  <c r="J57" i="3"/>
  <c r="I57" i="3"/>
  <c r="W56" i="3"/>
  <c r="J56" i="3"/>
  <c r="I56" i="3"/>
  <c r="J55" i="3"/>
  <c r="I55" i="3"/>
  <c r="W54" i="3"/>
  <c r="J54" i="3"/>
  <c r="I54" i="3"/>
  <c r="W53" i="3"/>
  <c r="J53" i="3"/>
  <c r="I53" i="3"/>
  <c r="W52" i="3"/>
  <c r="J52" i="3"/>
  <c r="I52" i="3"/>
  <c r="J51" i="3"/>
  <c r="I51" i="3"/>
  <c r="W50" i="3"/>
  <c r="J50" i="3"/>
  <c r="I50" i="3"/>
  <c r="J49" i="3"/>
  <c r="I49" i="3"/>
  <c r="W48" i="3"/>
  <c r="J48" i="3"/>
  <c r="I48" i="3"/>
  <c r="J47" i="3"/>
  <c r="I47" i="3"/>
  <c r="J46" i="3"/>
  <c r="I46" i="3"/>
  <c r="W45" i="3"/>
  <c r="J45" i="3"/>
  <c r="I45" i="3"/>
  <c r="J44" i="3"/>
  <c r="I44" i="3"/>
  <c r="W43" i="3"/>
  <c r="J43" i="3"/>
  <c r="I43" i="3"/>
  <c r="W42" i="3"/>
  <c r="J42" i="3"/>
  <c r="I42" i="3"/>
  <c r="W41" i="3"/>
  <c r="J41" i="3"/>
  <c r="I41" i="3"/>
  <c r="W40" i="3"/>
  <c r="J40" i="3"/>
  <c r="I40" i="3"/>
  <c r="J39" i="3"/>
  <c r="I39" i="3"/>
  <c r="W38" i="3"/>
  <c r="J38" i="3"/>
  <c r="I38" i="3"/>
  <c r="W37" i="3"/>
  <c r="J37" i="3"/>
  <c r="I37" i="3"/>
  <c r="J36" i="3"/>
  <c r="I36" i="3"/>
  <c r="J35" i="3"/>
  <c r="I35" i="3"/>
  <c r="W34" i="3"/>
  <c r="J34" i="3"/>
  <c r="I34" i="3"/>
  <c r="W33" i="3"/>
  <c r="J33" i="3"/>
  <c r="I33" i="3"/>
  <c r="W32" i="3"/>
  <c r="J32" i="3"/>
  <c r="I32" i="3"/>
  <c r="W31" i="3"/>
  <c r="J31" i="3"/>
  <c r="I31" i="3"/>
  <c r="W30" i="3"/>
  <c r="J30" i="3"/>
  <c r="I30" i="3"/>
  <c r="W29" i="3"/>
  <c r="J29" i="3"/>
  <c r="I29" i="3"/>
  <c r="W28" i="3"/>
  <c r="J28" i="3"/>
  <c r="I28" i="3"/>
  <c r="J27" i="3"/>
  <c r="I27" i="3"/>
  <c r="W26" i="3"/>
  <c r="J26" i="3"/>
  <c r="I26" i="3"/>
  <c r="W24" i="3"/>
  <c r="J24" i="3"/>
  <c r="I24" i="3"/>
  <c r="J23" i="3"/>
  <c r="I23" i="3"/>
  <c r="W22" i="3"/>
  <c r="W21" i="3"/>
  <c r="J21" i="3"/>
  <c r="I21" i="3"/>
  <c r="W20" i="3"/>
  <c r="J20" i="3"/>
  <c r="I20" i="3"/>
  <c r="W19" i="3"/>
  <c r="J19" i="3"/>
  <c r="I19" i="3"/>
  <c r="W18" i="3"/>
  <c r="J18" i="3"/>
  <c r="I18" i="3"/>
  <c r="W17" i="3"/>
  <c r="J17" i="3"/>
  <c r="I17" i="3"/>
  <c r="W16" i="3"/>
  <c r="J16" i="3"/>
  <c r="I16" i="3"/>
  <c r="W15" i="3"/>
  <c r="J15" i="3"/>
  <c r="I15" i="3"/>
  <c r="W14" i="3"/>
  <c r="J14" i="3"/>
  <c r="I14" i="3"/>
  <c r="W13" i="3"/>
  <c r="J13" i="3"/>
  <c r="I13" i="3"/>
  <c r="W11" i="3"/>
  <c r="J11" i="3"/>
  <c r="I11" i="3"/>
  <c r="J10" i="3"/>
  <c r="I10" i="3"/>
  <c r="J9" i="3"/>
  <c r="I9" i="3"/>
  <c r="W8" i="3"/>
  <c r="J8" i="3"/>
  <c r="I8" i="3"/>
  <c r="W7" i="3"/>
  <c r="J7" i="3"/>
  <c r="I7" i="3"/>
  <c r="W6" i="3"/>
  <c r="J6" i="3"/>
  <c r="I6" i="3"/>
  <c r="J5" i="3"/>
  <c r="I5" i="3"/>
  <c r="W4" i="3"/>
  <c r="J4" i="3"/>
  <c r="I4" i="3"/>
  <c r="J3" i="3"/>
  <c r="I3" i="3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M56" i="1"/>
  <c r="N56" i="1" s="1"/>
  <c r="M32" i="1"/>
  <c r="N32" i="1" s="1"/>
  <c r="L32" i="1"/>
  <c r="K32" i="1"/>
  <c r="J32" i="1"/>
  <c r="M31" i="1"/>
  <c r="N31" i="1" s="1"/>
  <c r="L31" i="1"/>
  <c r="K31" i="1"/>
  <c r="J31" i="1"/>
  <c r="M45" i="1"/>
  <c r="N45" i="1" s="1"/>
  <c r="L45" i="1"/>
  <c r="K45" i="1"/>
  <c r="J45" i="1"/>
  <c r="M44" i="1"/>
  <c r="N44" i="1" s="1"/>
  <c r="L44" i="1"/>
  <c r="K44" i="1"/>
  <c r="J44" i="1"/>
  <c r="M43" i="1"/>
  <c r="N43" i="1" s="1"/>
  <c r="L43" i="1"/>
  <c r="K43" i="1"/>
  <c r="J43" i="1"/>
  <c r="M54" i="1"/>
  <c r="N54" i="1" s="1"/>
  <c r="L54" i="1"/>
  <c r="K54" i="1"/>
  <c r="J54" i="1"/>
  <c r="M42" i="1"/>
  <c r="N42" i="1" s="1"/>
  <c r="L42" i="1"/>
  <c r="K42" i="1"/>
  <c r="J42" i="1"/>
  <c r="M30" i="1"/>
  <c r="N30" i="1" s="1"/>
  <c r="L30" i="1"/>
  <c r="K30" i="1"/>
  <c r="J30" i="1"/>
  <c r="M41" i="1"/>
  <c r="N41" i="1" s="1"/>
  <c r="L41" i="1"/>
  <c r="K41" i="1"/>
  <c r="J41" i="1"/>
  <c r="M40" i="1"/>
  <c r="N40" i="1" s="1"/>
  <c r="L40" i="1"/>
  <c r="K40" i="1"/>
  <c r="J40" i="1"/>
  <c r="M29" i="1"/>
  <c r="N29" i="1" s="1"/>
  <c r="L29" i="1"/>
  <c r="K29" i="1"/>
  <c r="J29" i="1"/>
  <c r="M28" i="1"/>
  <c r="N28" i="1" s="1"/>
  <c r="L28" i="1"/>
  <c r="K28" i="1"/>
  <c r="J28" i="1"/>
  <c r="M27" i="1"/>
  <c r="N27" i="1" s="1"/>
  <c r="L27" i="1"/>
  <c r="K27" i="1"/>
  <c r="J27" i="1"/>
  <c r="M35" i="1"/>
  <c r="N35" i="1" s="1"/>
  <c r="L35" i="1"/>
  <c r="K35" i="1"/>
  <c r="J35" i="1"/>
  <c r="M26" i="1"/>
  <c r="N26" i="1" s="1"/>
  <c r="L26" i="1"/>
  <c r="K26" i="1"/>
  <c r="J26" i="1"/>
  <c r="M25" i="1"/>
  <c r="N25" i="1" s="1"/>
  <c r="L25" i="1"/>
  <c r="K25" i="1"/>
  <c r="J25" i="1"/>
  <c r="M5" i="1"/>
  <c r="N5" i="1" s="1"/>
  <c r="L5" i="1"/>
  <c r="K5" i="1"/>
  <c r="J5" i="1"/>
  <c r="M24" i="1"/>
  <c r="N24" i="1" s="1"/>
  <c r="L24" i="1"/>
  <c r="K24" i="1"/>
  <c r="J24" i="1"/>
  <c r="M55" i="1"/>
  <c r="N55" i="1" s="1"/>
  <c r="L55" i="1"/>
  <c r="K55" i="1"/>
  <c r="J55" i="1"/>
  <c r="M23" i="1"/>
  <c r="N23" i="1" s="1"/>
  <c r="L23" i="1"/>
  <c r="K23" i="1"/>
  <c r="J23" i="1"/>
  <c r="M22" i="1"/>
  <c r="N22" i="1" s="1"/>
  <c r="L22" i="1"/>
  <c r="K22" i="1"/>
  <c r="J22" i="1"/>
  <c r="M21" i="1"/>
  <c r="N21" i="1" s="1"/>
  <c r="L21" i="1"/>
  <c r="K21" i="1"/>
  <c r="J21" i="1"/>
  <c r="M49" i="1"/>
  <c r="N49" i="1" s="1"/>
  <c r="L49" i="1"/>
  <c r="K49" i="1"/>
  <c r="J49" i="1"/>
  <c r="M39" i="1"/>
  <c r="N39" i="1" s="1"/>
  <c r="L39" i="1"/>
  <c r="K39" i="1"/>
  <c r="J39" i="1"/>
  <c r="M20" i="1"/>
  <c r="N20" i="1" s="1"/>
  <c r="L20" i="1"/>
  <c r="K20" i="1"/>
  <c r="J20" i="1"/>
  <c r="M19" i="1"/>
  <c r="N19" i="1" s="1"/>
  <c r="L19" i="1"/>
  <c r="K19" i="1"/>
  <c r="J19" i="1"/>
  <c r="M4" i="1"/>
  <c r="N4" i="1" s="1"/>
  <c r="L4" i="1"/>
  <c r="K4" i="1"/>
  <c r="J4" i="1"/>
  <c r="M18" i="1"/>
  <c r="N18" i="1" s="1"/>
  <c r="L18" i="1"/>
  <c r="K18" i="1"/>
  <c r="J18" i="1"/>
  <c r="M48" i="1"/>
  <c r="N48" i="1" s="1"/>
  <c r="L48" i="1"/>
  <c r="K48" i="1"/>
  <c r="J48" i="1"/>
  <c r="M17" i="1"/>
  <c r="N17" i="1" s="1"/>
  <c r="L17" i="1"/>
  <c r="K17" i="1"/>
  <c r="J17" i="1"/>
  <c r="M16" i="1"/>
  <c r="N16" i="1" s="1"/>
  <c r="L16" i="1"/>
  <c r="K16" i="1"/>
  <c r="J16" i="1"/>
  <c r="M47" i="1"/>
  <c r="N47" i="1" s="1"/>
  <c r="L47" i="1"/>
  <c r="K47" i="1"/>
  <c r="J47" i="1"/>
  <c r="M38" i="1"/>
  <c r="N38" i="1" s="1"/>
  <c r="L38" i="1"/>
  <c r="K38" i="1"/>
  <c r="J38" i="1"/>
  <c r="M15" i="1"/>
  <c r="N15" i="1" s="1"/>
  <c r="M52" i="1"/>
  <c r="N52" i="1" s="1"/>
  <c r="L52" i="1"/>
  <c r="K52" i="1"/>
  <c r="J52" i="1"/>
  <c r="M14" i="1"/>
  <c r="N14" i="1" s="1"/>
  <c r="L14" i="1"/>
  <c r="K14" i="1"/>
  <c r="J14" i="1"/>
  <c r="M3" i="1"/>
  <c r="N3" i="1" s="1"/>
  <c r="L3" i="1"/>
  <c r="K3" i="1"/>
  <c r="J3" i="1"/>
  <c r="M13" i="1"/>
  <c r="N13" i="1" s="1"/>
  <c r="L13" i="1"/>
  <c r="K13" i="1"/>
  <c r="J13" i="1"/>
  <c r="M12" i="1"/>
  <c r="N12" i="1" s="1"/>
  <c r="L12" i="1"/>
  <c r="K12" i="1"/>
  <c r="J12" i="1"/>
  <c r="M34" i="1"/>
  <c r="N34" i="1" s="1"/>
  <c r="L34" i="1"/>
  <c r="K34" i="1"/>
  <c r="J34" i="1"/>
  <c r="M11" i="1"/>
  <c r="N11" i="1" s="1"/>
  <c r="L11" i="1"/>
  <c r="K11" i="1"/>
  <c r="J11" i="1"/>
  <c r="M33" i="1"/>
  <c r="N33" i="1" s="1"/>
  <c r="L33" i="1"/>
  <c r="K33" i="1"/>
  <c r="J33" i="1"/>
  <c r="M46" i="1"/>
  <c r="N46" i="1" s="1"/>
  <c r="L46" i="1"/>
  <c r="K46" i="1"/>
  <c r="J46" i="1"/>
  <c r="M51" i="1"/>
  <c r="N51" i="1" s="1"/>
  <c r="L51" i="1"/>
  <c r="K51" i="1"/>
  <c r="J51" i="1"/>
  <c r="M10" i="1"/>
  <c r="N10" i="1" s="1"/>
  <c r="L10" i="1"/>
  <c r="K10" i="1"/>
  <c r="J10" i="1"/>
  <c r="M2" i="1"/>
  <c r="N2" i="1" s="1"/>
  <c r="L2" i="1"/>
  <c r="K2" i="1"/>
  <c r="J2" i="1"/>
  <c r="M37" i="1"/>
  <c r="N37" i="1" s="1"/>
  <c r="L37" i="1"/>
  <c r="K37" i="1"/>
  <c r="J37" i="1"/>
  <c r="M36" i="1"/>
  <c r="N36" i="1" s="1"/>
  <c r="L36" i="1"/>
  <c r="K36" i="1"/>
  <c r="J36" i="1"/>
  <c r="M9" i="1"/>
  <c r="N9" i="1" s="1"/>
  <c r="L9" i="1"/>
  <c r="K9" i="1"/>
  <c r="J9" i="1"/>
  <c r="M50" i="1"/>
  <c r="N50" i="1" s="1"/>
  <c r="L50" i="1"/>
  <c r="K50" i="1"/>
  <c r="J50" i="1"/>
  <c r="M53" i="1"/>
  <c r="N53" i="1" s="1"/>
  <c r="L53" i="1"/>
  <c r="K53" i="1"/>
  <c r="J53" i="1"/>
  <c r="M8" i="1"/>
  <c r="N8" i="1" s="1"/>
  <c r="L8" i="1"/>
  <c r="K8" i="1"/>
  <c r="J8" i="1"/>
  <c r="M7" i="1"/>
  <c r="N7" i="1" s="1"/>
  <c r="L7" i="1"/>
  <c r="K7" i="1"/>
  <c r="J7" i="1"/>
  <c r="M6" i="1"/>
  <c r="N6" i="1" s="1"/>
  <c r="L6" i="1"/>
  <c r="K6" i="1"/>
  <c r="J6" i="1"/>
  <c r="L56" i="1"/>
  <c r="K56" i="1"/>
  <c r="J56" i="1"/>
  <c r="I18" i="5"/>
</calcChain>
</file>

<file path=xl/sharedStrings.xml><?xml version="1.0" encoding="utf-8"?>
<sst xmlns="http://schemas.openxmlformats.org/spreadsheetml/2006/main" count="3987" uniqueCount="1137">
  <si>
    <t>dest_plate</t>
  </si>
  <si>
    <t>dest_well</t>
  </si>
  <si>
    <t>gene_allele</t>
  </si>
  <si>
    <t>Mutation</t>
  </si>
  <si>
    <t>Number of cells</t>
  </si>
  <si>
    <t>Cytoplasm cells</t>
  </si>
  <si>
    <t>Cytoplasm cells with aggregates</t>
  </si>
  <si>
    <t>% aggregated cells</t>
  </si>
  <si>
    <t>% cytoplasm</t>
  </si>
  <si>
    <t>% cyto corrected</t>
  </si>
  <si>
    <t>Severity</t>
  </si>
  <si>
    <t>GFAP_FS_P01</t>
  </si>
  <si>
    <t>B02</t>
  </si>
  <si>
    <t>GFAP</t>
  </si>
  <si>
    <t>WT</t>
  </si>
  <si>
    <t>B03</t>
  </si>
  <si>
    <t>GFAP Leu76Val</t>
  </si>
  <si>
    <t>L76V</t>
  </si>
  <si>
    <t>INFANTILE</t>
  </si>
  <si>
    <t>B04</t>
  </si>
  <si>
    <t>GFAP Arg79Gly</t>
  </si>
  <si>
    <t>R79G</t>
  </si>
  <si>
    <t>B05</t>
  </si>
  <si>
    <t>GFAP Arg88Ser</t>
  </si>
  <si>
    <t>R88S</t>
  </si>
  <si>
    <t>B06</t>
  </si>
  <si>
    <t>GFAP Asp114Glu</t>
  </si>
  <si>
    <t>D114E</t>
  </si>
  <si>
    <t>Not in Severity list</t>
  </si>
  <si>
    <t>B07</t>
  </si>
  <si>
    <t>GFAP Arg239Cys</t>
  </si>
  <si>
    <t>R239C</t>
  </si>
  <si>
    <t>MOSTLY INFANTILE</t>
  </si>
  <si>
    <t>B08</t>
  </si>
  <si>
    <t>GFAP Ala253Gly</t>
  </si>
  <si>
    <t>A253G</t>
  </si>
  <si>
    <t>B09</t>
  </si>
  <si>
    <t>GFAP Glu362Asp</t>
  </si>
  <si>
    <t>E362D</t>
  </si>
  <si>
    <t>JUVENILE</t>
  </si>
  <si>
    <t>B10</t>
  </si>
  <si>
    <t>GFAP Arg376Trp</t>
  </si>
  <si>
    <t>R376W</t>
  </si>
  <si>
    <t>B11</t>
  </si>
  <si>
    <t>GFAP R239H</t>
  </si>
  <si>
    <t>R239H</t>
  </si>
  <si>
    <t>C02</t>
  </si>
  <si>
    <t>GFAP Lys63Gln</t>
  </si>
  <si>
    <t>K63Q</t>
  </si>
  <si>
    <t>ADULT</t>
  </si>
  <si>
    <t>C03</t>
  </si>
  <si>
    <t>GFAP Leu76Phe</t>
  </si>
  <si>
    <t>L76F</t>
  </si>
  <si>
    <t>C04</t>
  </si>
  <si>
    <t>GFAP Arg79Cys</t>
  </si>
  <si>
    <t>R79C</t>
  </si>
  <si>
    <t>C05</t>
  </si>
  <si>
    <t>GFAP Arg88Cys</t>
  </si>
  <si>
    <t>R88C</t>
  </si>
  <si>
    <t>MIXED</t>
  </si>
  <si>
    <t>C06</t>
  </si>
  <si>
    <t>GFAP Asp157Asn</t>
  </si>
  <si>
    <t>D157N</t>
  </si>
  <si>
    <t>INNOCUOUS</t>
  </si>
  <si>
    <t>C07</t>
  </si>
  <si>
    <t>GFAP Arg239His</t>
  </si>
  <si>
    <t>C08</t>
  </si>
  <si>
    <t>GFAP Asp295Asn</t>
  </si>
  <si>
    <t>D295N</t>
  </si>
  <si>
    <t>C09</t>
  </si>
  <si>
    <t>GFAP Ala364Pro</t>
  </si>
  <si>
    <t>A364P</t>
  </si>
  <si>
    <t>C10</t>
  </si>
  <si>
    <t>GFAP Asn386Ile</t>
  </si>
  <si>
    <t>N386I</t>
  </si>
  <si>
    <t>C11</t>
  </si>
  <si>
    <t>GFAP R416W</t>
  </si>
  <si>
    <t>R416W</t>
  </si>
  <si>
    <t>D02</t>
  </si>
  <si>
    <t>GFAP Arg70Trp</t>
  </si>
  <si>
    <t>R70W</t>
  </si>
  <si>
    <t>D03</t>
  </si>
  <si>
    <t>GFAP Asn77Tyr</t>
  </si>
  <si>
    <t>N77Y</t>
  </si>
  <si>
    <t>D04</t>
  </si>
  <si>
    <t>GFAP Arg79His</t>
  </si>
  <si>
    <t>R79H</t>
  </si>
  <si>
    <t>D05</t>
  </si>
  <si>
    <t>GFAP Leu90Pro</t>
  </si>
  <si>
    <t>L90P</t>
  </si>
  <si>
    <t>D06</t>
  </si>
  <si>
    <t>GFAP Glu207Lys</t>
  </si>
  <si>
    <t>E207K</t>
  </si>
  <si>
    <t>D07</t>
  </si>
  <si>
    <t>GFAP Arg239Pro</t>
  </si>
  <si>
    <t>R239P</t>
  </si>
  <si>
    <t>D08</t>
  </si>
  <si>
    <t>GFAP Leu331Pro</t>
  </si>
  <si>
    <t>L331P</t>
  </si>
  <si>
    <t>D09</t>
  </si>
  <si>
    <t>GFAP Tyr366His</t>
  </si>
  <si>
    <t>Y366H</t>
  </si>
  <si>
    <t>D10</t>
  </si>
  <si>
    <t>GFAP Arg416Trp</t>
  </si>
  <si>
    <t>E11</t>
  </si>
  <si>
    <t>GFAP R258P</t>
  </si>
  <si>
    <t>R258P</t>
  </si>
  <si>
    <t>D11</t>
  </si>
  <si>
    <t>E02</t>
  </si>
  <si>
    <t>GFAP Arg70Gln</t>
  </si>
  <si>
    <t>R70Q</t>
  </si>
  <si>
    <t>E03</t>
  </si>
  <si>
    <t>GFAP Asn77Ser</t>
  </si>
  <si>
    <t>N77S</t>
  </si>
  <si>
    <t>E04</t>
  </si>
  <si>
    <t>GFAP Arg79Leu</t>
  </si>
  <si>
    <t>R79L</t>
  </si>
  <si>
    <t>E05</t>
  </si>
  <si>
    <t>GFAP Gln93Pro</t>
  </si>
  <si>
    <t>Q93P</t>
  </si>
  <si>
    <t>E06</t>
  </si>
  <si>
    <t>GFAP Glu210Lys</t>
  </si>
  <si>
    <t>E210K</t>
  </si>
  <si>
    <t>E07</t>
  </si>
  <si>
    <t>GFAP Arg239Leu</t>
  </si>
  <si>
    <t>R239L</t>
  </si>
  <si>
    <t>E08</t>
  </si>
  <si>
    <t>GFAP Leu352Pro</t>
  </si>
  <si>
    <t>L352P</t>
  </si>
  <si>
    <t>E09</t>
  </si>
  <si>
    <t>GFAP Glu371Gly</t>
  </si>
  <si>
    <t>E371G</t>
  </si>
  <si>
    <t>E10</t>
  </si>
  <si>
    <t>EGFP</t>
  </si>
  <si>
    <t>GFAP P47L</t>
  </si>
  <si>
    <t>P47L</t>
  </si>
  <si>
    <t>Not in Severity list (Benign)</t>
  </si>
  <si>
    <t>F02</t>
  </si>
  <si>
    <t>GFAP Met73Thr</t>
  </si>
  <si>
    <t>M73T</t>
  </si>
  <si>
    <t>F03</t>
  </si>
  <si>
    <t>GFAP Asp78Glu</t>
  </si>
  <si>
    <t>D78E</t>
  </si>
  <si>
    <t>F04</t>
  </si>
  <si>
    <t>GFAP Tyr83His</t>
  </si>
  <si>
    <t>Y83H</t>
  </si>
  <si>
    <t>F05</t>
  </si>
  <si>
    <t>GFAP Leu97Pro</t>
  </si>
  <si>
    <t>L97P</t>
  </si>
  <si>
    <t>F06</t>
  </si>
  <si>
    <t>GFAP Glu223Gln</t>
  </si>
  <si>
    <t>E223Q</t>
  </si>
  <si>
    <t>F07</t>
  </si>
  <si>
    <t>GFAP Tyr242Asp</t>
  </si>
  <si>
    <t>Y242D</t>
  </si>
  <si>
    <t>F08</t>
  </si>
  <si>
    <t>GFAP Ala358Val</t>
  </si>
  <si>
    <t>A358V</t>
  </si>
  <si>
    <t>F09</t>
  </si>
  <si>
    <t>GFAP Glu373Lys</t>
  </si>
  <si>
    <t>E373K</t>
  </si>
  <si>
    <t>F10</t>
  </si>
  <si>
    <t>F11</t>
  </si>
  <si>
    <t>GFAP E207Q</t>
  </si>
  <si>
    <t>E207Q</t>
  </si>
  <si>
    <t>G02</t>
  </si>
  <si>
    <t>GFAP Met73Arg</t>
  </si>
  <si>
    <t>M73R</t>
  </si>
  <si>
    <t>G03</t>
  </si>
  <si>
    <t>GFAP Arg79Ser</t>
  </si>
  <si>
    <t>R79S</t>
  </si>
  <si>
    <t>G04</t>
  </si>
  <si>
    <t>GFAP Val87Ile</t>
  </si>
  <si>
    <t>V87I</t>
  </si>
  <si>
    <t>G05</t>
  </si>
  <si>
    <t>GFAP Arg105Trp</t>
  </si>
  <si>
    <t>R105W</t>
  </si>
  <si>
    <t>G06</t>
  </si>
  <si>
    <t>GFAP Leu235Pro</t>
  </si>
  <si>
    <t>L235P</t>
  </si>
  <si>
    <t>G07</t>
  </si>
  <si>
    <t>GFAP Ala244Val</t>
  </si>
  <si>
    <t>A244V</t>
  </si>
  <si>
    <t>G08</t>
  </si>
  <si>
    <t>GFAP Leu359Val</t>
  </si>
  <si>
    <t>L359V</t>
  </si>
  <si>
    <t>G09</t>
  </si>
  <si>
    <t>GFAP Glu373Gln</t>
  </si>
  <si>
    <t>E373Q</t>
  </si>
  <si>
    <t>G10</t>
  </si>
  <si>
    <t>GFAP R79H</t>
  </si>
  <si>
    <t>G11</t>
  </si>
  <si>
    <t>GFAP E374G</t>
  </si>
  <si>
    <t>E374G</t>
  </si>
  <si>
    <t>IF</t>
  </si>
  <si>
    <t>Cytoplasm only</t>
  </si>
  <si>
    <t>Presence of IF</t>
  </si>
  <si>
    <t>% IF</t>
  </si>
  <si>
    <t>Perinuclear agg</t>
  </si>
  <si>
    <t>Notes</t>
  </si>
  <si>
    <t>Not fully cytoplasmic.. IF and cytoplasm</t>
  </si>
  <si>
    <t>weird different phenotype for perinnuclear aggregates</t>
  </si>
  <si>
    <t>perinuclear aggregation very. Large</t>
  </si>
  <si>
    <t>expression level very low</t>
  </si>
  <si>
    <t>weird perinuclear phenotype</t>
  </si>
  <si>
    <t>Rep 1 annotations</t>
  </si>
  <si>
    <t>Rep 2 Annotations</t>
  </si>
  <si>
    <t>Localization</t>
  </si>
  <si>
    <t>Transfection Efficiency</t>
  </si>
  <si>
    <t>Hit?</t>
  </si>
  <si>
    <t>Foci?</t>
  </si>
  <si>
    <t>Replicates match?</t>
  </si>
  <si>
    <t>High</t>
  </si>
  <si>
    <t>Cytoplasm</t>
  </si>
  <si>
    <t>Med</t>
  </si>
  <si>
    <t>Y</t>
  </si>
  <si>
    <t>Foci</t>
  </si>
  <si>
    <t>Not expressed</t>
  </si>
  <si>
    <t>NE</t>
  </si>
  <si>
    <t>Low</t>
  </si>
  <si>
    <t>N</t>
  </si>
  <si>
    <t>Not Expressed</t>
  </si>
  <si>
    <t>Cytoplasm, IF</t>
  </si>
  <si>
    <t>Not enough cells to tell</t>
  </si>
  <si>
    <t>Some cells with Foci</t>
  </si>
  <si>
    <t>Few cells overall</t>
  </si>
  <si>
    <t>IF, Cytoplasm</t>
  </si>
  <si>
    <t>Foci, 5 cells</t>
  </si>
  <si>
    <t>Transfection efficiency decent but expression level is low outside of foci</t>
  </si>
  <si>
    <t>Some Foci</t>
  </si>
  <si>
    <t>not expressed</t>
  </si>
  <si>
    <t>Almost WT-like but ~5% cells have Foci too</t>
  </si>
  <si>
    <t>2 cells</t>
  </si>
  <si>
    <t>4 cells</t>
  </si>
  <si>
    <t xml:space="preserve">IF </t>
  </si>
  <si>
    <t>Too few cells to make any call</t>
  </si>
  <si>
    <t>Cytoplasm, IF?</t>
  </si>
  <si>
    <t>4 cells total</t>
  </si>
  <si>
    <t>!!</t>
  </si>
  <si>
    <t>Does not look like WT</t>
  </si>
  <si>
    <t>Very Low</t>
  </si>
  <si>
    <t>Cytoplasm. IF</t>
  </si>
  <si>
    <t>Some foci</t>
  </si>
  <si>
    <t>Something</t>
  </si>
  <si>
    <t>Aggregates R2</t>
  </si>
  <si>
    <t>Aggregates R1</t>
  </si>
  <si>
    <t>Cytoplasm R1</t>
  </si>
  <si>
    <t>Cytoplasm R2</t>
  </si>
  <si>
    <t>IF R1</t>
  </si>
  <si>
    <t>Aggregates avg</t>
  </si>
  <si>
    <t>Cytoplasm Avg</t>
  </si>
  <si>
    <t>Reference</t>
  </si>
  <si>
    <t>p.Gly 18 Val</t>
  </si>
  <si>
    <t>G18V</t>
  </si>
  <si>
    <t>Casasnovas 2019</t>
  </si>
  <si>
    <t>p.Leu 58 Pro</t>
  </si>
  <si>
    <t>L58P</t>
  </si>
  <si>
    <t>Goerttler 2022</t>
  </si>
  <si>
    <t xml:space="preserve">p.Lys 63 Gln </t>
  </si>
  <si>
    <t>(Li et al., 2005)</t>
  </si>
  <si>
    <t>p.Arg 66 Gly</t>
  </si>
  <si>
    <t>R66G</t>
  </si>
  <si>
    <t>Flones 2015</t>
  </si>
  <si>
    <t>p.Arg 66 Gln</t>
  </si>
  <si>
    <t>R66Q</t>
  </si>
  <si>
    <t>(Prust et al., 2011)</t>
  </si>
  <si>
    <t>(Hida et al., 2012)</t>
  </si>
  <si>
    <t>Luiz Pedroso et al. 2014</t>
  </si>
  <si>
    <t>Fu 2020</t>
  </si>
  <si>
    <t>Zhang 2021</t>
  </si>
  <si>
    <t>Kang 2023</t>
  </si>
  <si>
    <t>p.Glu 69 Lys</t>
  </si>
  <si>
    <t>E69K</t>
  </si>
  <si>
    <t xml:space="preserve">(Busch et al., 2006 abstract) (Davison et al., 2011) </t>
  </si>
  <si>
    <t>Kondo 2016</t>
  </si>
  <si>
    <t>Brackmann 2018</t>
  </si>
  <si>
    <t>p.Arg 70 Gln</t>
  </si>
  <si>
    <t>(Caroli et al., 2007) and #1 in Jany et al. 2015</t>
  </si>
  <si>
    <t>Graff-Radford et al. 2014</t>
  </si>
  <si>
    <t>p.Arg 70 Trp</t>
  </si>
  <si>
    <t>(Salvi et. al., 2005)</t>
  </si>
  <si>
    <t xml:space="preserve">  </t>
  </si>
  <si>
    <t>(Sreedharan, et al, 2007)</t>
  </si>
  <si>
    <t>(Caroli et al., 2007)</t>
  </si>
  <si>
    <t>D</t>
  </si>
  <si>
    <t>Yoshida 2015</t>
  </si>
  <si>
    <t>Yasuda 2019</t>
  </si>
  <si>
    <t>Park 2020</t>
  </si>
  <si>
    <t>Yoshida 2021</t>
  </si>
  <si>
    <t>p.Glu 72 Lys</t>
  </si>
  <si>
    <t>E72K</t>
  </si>
  <si>
    <t>Song 2021</t>
  </si>
  <si>
    <t>p.Met 73 Ile</t>
  </si>
  <si>
    <t>M73I</t>
  </si>
  <si>
    <t>Ciammola 2019</t>
  </si>
  <si>
    <t>Hayano 2020</t>
  </si>
  <si>
    <t>5 individuals, 3 families</t>
  </si>
  <si>
    <t>Anis 2023</t>
  </si>
  <si>
    <t>p.Met 73 Lys</t>
  </si>
  <si>
    <t>M73K</t>
  </si>
  <si>
    <t>p.Met 73 Arg</t>
  </si>
  <si>
    <t>(Gorospe et al., 2002)</t>
  </si>
  <si>
    <t xml:space="preserve">p.Met 73 Thr </t>
  </si>
  <si>
    <t xml:space="preserve">(Li et al., 2005) </t>
  </si>
  <si>
    <t xml:space="preserve">(VazQuez 2008) </t>
  </si>
  <si>
    <t>M73T, V87F</t>
  </si>
  <si>
    <t>Liang 2017</t>
  </si>
  <si>
    <t>p.Met 73 Val</t>
  </si>
  <si>
    <t>M73V</t>
  </si>
  <si>
    <t>Heshmatzad 2022</t>
  </si>
  <si>
    <t xml:space="preserve">p.Met 74 Thr </t>
  </si>
  <si>
    <t>M74T</t>
  </si>
  <si>
    <t xml:space="preserve">(Ohnari et al, 2007) </t>
  </si>
  <si>
    <t xml:space="preserve">(Yoshida et al, 2010) </t>
  </si>
  <si>
    <t>p.Met 74 Thr</t>
  </si>
  <si>
    <t>p.Leu 76 Phe</t>
  </si>
  <si>
    <t>(Rodriguez et al., 2001)</t>
  </si>
  <si>
    <t xml:space="preserve">p.Leu 76 Phe </t>
  </si>
  <si>
    <t>Prust et al., 2011</t>
  </si>
  <si>
    <t>Zang et al. 2013</t>
  </si>
  <si>
    <t>p. Leu 76 His or Gln?</t>
  </si>
  <si>
    <t>L76H or Q?</t>
  </si>
  <si>
    <t>complicated genetics</t>
  </si>
  <si>
    <t>Tavasoli 2017</t>
  </si>
  <si>
    <t>Devos 2023</t>
  </si>
  <si>
    <t>p.Leu 76 Val</t>
  </si>
  <si>
    <t>p.Asn 77 Asp</t>
  </si>
  <si>
    <t>N77D</t>
  </si>
  <si>
    <t>Gowda 2020</t>
  </si>
  <si>
    <t>p.Asn 77 Lys</t>
  </si>
  <si>
    <t>N77K</t>
  </si>
  <si>
    <t xml:space="preserve">p.Asn 77 Ser </t>
  </si>
  <si>
    <t>p.Asn 77 Ser</t>
  </si>
  <si>
    <t>p.Asn77 Ser</t>
  </si>
  <si>
    <t>Jany et al. 2015</t>
  </si>
  <si>
    <t>N77S, S152L</t>
  </si>
  <si>
    <t>Yang 2023</t>
  </si>
  <si>
    <t>p.Asn 77 Tyr</t>
  </si>
  <si>
    <t>p.Asp 78 Glu</t>
  </si>
  <si>
    <t>familial</t>
  </si>
  <si>
    <t>(Stumpf et al., 2003)</t>
  </si>
  <si>
    <t>p.Asp 78 Asn</t>
  </si>
  <si>
    <t>D78N</t>
  </si>
  <si>
    <t>Wada et al. 2013</t>
  </si>
  <si>
    <t>p.Asp 78 Tyr</t>
  </si>
  <si>
    <t>D78Y</t>
  </si>
  <si>
    <t>Tonduti 2016</t>
  </si>
  <si>
    <t xml:space="preserve">p.Arg 79 Cys </t>
  </si>
  <si>
    <t xml:space="preserve">1 &amp; 12 </t>
  </si>
  <si>
    <t>(Brenner et al., 2001)</t>
  </si>
  <si>
    <t>.</t>
  </si>
  <si>
    <t>(Probst et al. 2003)</t>
  </si>
  <si>
    <t>p.Arg 79 Cys</t>
  </si>
  <si>
    <t>1, 2</t>
  </si>
  <si>
    <t>(Shiroma et al., 2003)</t>
  </si>
  <si>
    <t xml:space="preserve"> 6-8 </t>
  </si>
  <si>
    <t>(Li et al., 2005) and #5 in Jany et al. 2015</t>
  </si>
  <si>
    <t>(Mignot 2009)</t>
  </si>
  <si>
    <t>(Biancheri et al., 2012)</t>
  </si>
  <si>
    <t>14, 16, 19</t>
  </si>
  <si>
    <t>Uncertain whether 2 or 3</t>
  </si>
  <si>
    <t>Mierzewska 2016</t>
  </si>
  <si>
    <t>p.Arg 79 Gly</t>
  </si>
  <si>
    <t>Jany 2015</t>
  </si>
  <si>
    <t xml:space="preserve">p.Arg 79 His </t>
  </si>
  <si>
    <t>2 &amp; 13</t>
  </si>
  <si>
    <t>p.Arg 79 His</t>
  </si>
  <si>
    <t>3 &amp; 4</t>
  </si>
  <si>
    <t>2-3 (twins)</t>
  </si>
  <si>
    <t>(Meins et al., 2002)</t>
  </si>
  <si>
    <t xml:space="preserve">3, 4, 5, &amp; 6 </t>
  </si>
  <si>
    <t>(Asahina 2006)</t>
  </si>
  <si>
    <t>10 </t>
  </si>
  <si>
    <t>(Yoshida et al., 2010)</t>
  </si>
  <si>
    <t>13,17</t>
  </si>
  <si>
    <t>(Zang et al. 2013)</t>
  </si>
  <si>
    <t>Yoshida et al., 2013</t>
  </si>
  <si>
    <t>Ashrafi et al., 2013</t>
  </si>
  <si>
    <t>2 or 3?, 4</t>
  </si>
  <si>
    <t>two patients</t>
  </si>
  <si>
    <t>Casarejos 2018</t>
  </si>
  <si>
    <t>Paprocka 2019</t>
  </si>
  <si>
    <t xml:space="preserve"> p.Arg 79 His</t>
  </si>
  <si>
    <t>Variant detail may be error?</t>
  </si>
  <si>
    <t>Matsuyama 2020</t>
  </si>
  <si>
    <t>Martinez-Poles 2020</t>
  </si>
  <si>
    <t>Cai 2021</t>
  </si>
  <si>
    <t>p.Glu 223 Gln</t>
  </si>
  <si>
    <t>R79H, E223Q</t>
  </si>
  <si>
    <t>(Dotti et al., 2009)</t>
  </si>
  <si>
    <t>p.Arg 79 Leu</t>
  </si>
  <si>
    <t xml:space="preserve">(Shiroma et al., 2003) (Imamura et al., 2002) </t>
  </si>
  <si>
    <t>p.Arg 79 Pro</t>
  </si>
  <si>
    <t>R79P</t>
  </si>
  <si>
    <t>p.Arg 79 Ser</t>
  </si>
  <si>
    <t>p.Phe 80 Ser</t>
  </si>
  <si>
    <t>F80S</t>
  </si>
  <si>
    <t xml:space="preserve">da Silva Pereira et al. 2013 </t>
  </si>
  <si>
    <t>Matsumoto 2018</t>
  </si>
  <si>
    <t>p.Tyr 83 His</t>
  </si>
  <si>
    <t>(Wu et al. 2008)</t>
  </si>
  <si>
    <t>p.Ile 84 Phe</t>
  </si>
  <si>
    <t>I84F</t>
  </si>
  <si>
    <t>Wang 2016</t>
  </si>
  <si>
    <t>p.Lys 86 Glu</t>
  </si>
  <si>
    <t>K86E</t>
  </si>
  <si>
    <t>(Barreau et al., 2011)</t>
  </si>
  <si>
    <t xml:space="preserve">(van der Knaap et. al., 2006) </t>
  </si>
  <si>
    <t>p.Val 87 Asp</t>
  </si>
  <si>
    <t>V87E</t>
  </si>
  <si>
    <t>Mother daughter pair</t>
  </si>
  <si>
    <t>Romano 2024</t>
  </si>
  <si>
    <t>p.Val 87 Gly</t>
  </si>
  <si>
    <t>V87G</t>
  </si>
  <si>
    <t>familial, adult-onset</t>
  </si>
  <si>
    <t>(Okamoto et al., 2002)</t>
  </si>
  <si>
    <t>p.Val 87 Ile</t>
  </si>
  <si>
    <t>Restrepo et al., 2011</t>
  </si>
  <si>
    <t>p.Val 87 Leu</t>
  </si>
  <si>
    <t>V87L</t>
  </si>
  <si>
    <t>(Suzuki et al., 2012)</t>
  </si>
  <si>
    <t>p.Arg 88 Cys</t>
  </si>
  <si>
    <t>9 &amp; 10</t>
  </si>
  <si>
    <t>7 &amp; 8</t>
  </si>
  <si>
    <t xml:space="preserve">p.Arg 88 Cys </t>
  </si>
  <si>
    <t>(Nobuhara et al. 2004)</t>
  </si>
  <si>
    <t>(Kyllerman et al. 2005)</t>
  </si>
  <si>
    <t xml:space="preserve">3,4 (mother-son pair), 7 </t>
  </si>
  <si>
    <t>(van der Knaap et. al., 2006) and #19-20 in Jany et al. 2015</t>
  </si>
  <si>
    <t>1,2,3,11</t>
  </si>
  <si>
    <t>16-18</t>
  </si>
  <si>
    <t>2,3 (mother-son pair)</t>
  </si>
  <si>
    <t>Nam 2018</t>
  </si>
  <si>
    <t>Tan 2018</t>
  </si>
  <si>
    <t>Gowda 2019</t>
  </si>
  <si>
    <t>Zardadi 2022</t>
  </si>
  <si>
    <t>Yuan 2022</t>
  </si>
  <si>
    <t>p.Arg 88 Ser</t>
  </si>
  <si>
    <t xml:space="preserve">p.Leu 90 Pro </t>
  </si>
  <si>
    <t>(Suzuki et al. 2004)</t>
  </si>
  <si>
    <t>p.Gln 93 Pro</t>
  </si>
  <si>
    <t>p.Leu 97 Pro</t>
  </si>
  <si>
    <t>p.Ala 98 Pro</t>
  </si>
  <si>
    <t>A98P</t>
  </si>
  <si>
    <t>Mura 2021</t>
  </si>
  <si>
    <t>p.Leu 101 Pro</t>
  </si>
  <si>
    <t>L101P</t>
  </si>
  <si>
    <t>(Kaneko et al., 2009)</t>
  </si>
  <si>
    <t>p.Asn 102 Lys</t>
  </si>
  <si>
    <t>N102K</t>
  </si>
  <si>
    <t>p.Arg 105 Pro</t>
  </si>
  <si>
    <t>R105P</t>
  </si>
  <si>
    <t>Godinho 2023</t>
  </si>
  <si>
    <t>p.Arg 105 Trp</t>
  </si>
  <si>
    <t>pathogenicity uncertain</t>
  </si>
  <si>
    <t>p.Thr 110 Ser</t>
  </si>
  <si>
    <t>T110S</t>
  </si>
  <si>
    <t>(unpublished)</t>
  </si>
  <si>
    <t>p.Val 115 Ile</t>
  </si>
  <si>
    <t>V115I</t>
  </si>
  <si>
    <t>van der Knaap 2005</t>
  </si>
  <si>
    <t>p.Leu 123 Pro</t>
  </si>
  <si>
    <t>L123P</t>
  </si>
  <si>
    <t>Yoshida 2017</t>
  </si>
  <si>
    <t>p.Arg 124 Trp</t>
  </si>
  <si>
    <t>R124W</t>
  </si>
  <si>
    <t>(unpublished, pathogenicity uncertain)</t>
  </si>
  <si>
    <t>Schmidt et al. 2013</t>
  </si>
  <si>
    <t>Sun 2021</t>
  </si>
  <si>
    <t>p.Asp 128 Asn</t>
  </si>
  <si>
    <t>D128N</t>
  </si>
  <si>
    <t>(Pareyson 2008); (Farina 2008)</t>
  </si>
  <si>
    <t>Chang et al 2015</t>
  </si>
  <si>
    <t>Lee 2017</t>
  </si>
  <si>
    <t>Cabrera-Galvan 2019</t>
  </si>
  <si>
    <t>Kang 2022</t>
  </si>
  <si>
    <t>p.Arg 198 Trp</t>
  </si>
  <si>
    <t>R198W</t>
  </si>
  <si>
    <t>Ziad 2023</t>
  </si>
  <si>
    <t>Varanda 2015</t>
  </si>
  <si>
    <t>Shiina 2024 (in press)</t>
  </si>
  <si>
    <t>p.His 204 Arg</t>
  </si>
  <si>
    <t>H204R</t>
  </si>
  <si>
    <t>Vazquez-Justes 2020</t>
  </si>
  <si>
    <t>p.Glu 205 Lys</t>
  </si>
  <si>
    <t>E205K</t>
  </si>
  <si>
    <t>5, 8</t>
  </si>
  <si>
    <t>p.Glu 206 Ala</t>
  </si>
  <si>
    <t>E206A</t>
  </si>
  <si>
    <t>Ogawa 2020</t>
  </si>
  <si>
    <t>p.Glu 206 Lys</t>
  </si>
  <si>
    <t>E206K</t>
  </si>
  <si>
    <t>Amano 2021</t>
  </si>
  <si>
    <t>p.Glu 207 Lys</t>
  </si>
  <si>
    <t>p.Glu 207 Gln</t>
  </si>
  <si>
    <t>(Li et al., 2005); #7 in van der Knaap 2005; #23 in Jany et al. 2015</t>
  </si>
  <si>
    <t>p.Glu 207 Val</t>
  </si>
  <si>
    <t>E207V</t>
  </si>
  <si>
    <t>Gass 2017</t>
  </si>
  <si>
    <t>p.Glu 210 Lys</t>
  </si>
  <si>
    <t>B</t>
  </si>
  <si>
    <t>(Brockmann et al., 2003)</t>
  </si>
  <si>
    <t>p.Leu 231 His</t>
  </si>
  <si>
    <t>L231H</t>
  </si>
  <si>
    <t xml:space="preserve">p.Leu 235 Pro </t>
  </si>
  <si>
    <t xml:space="preserve">14-15 twins </t>
  </si>
  <si>
    <t>p.Leu 235 Pro</t>
  </si>
  <si>
    <t>p.Lys 236 Thr</t>
  </si>
  <si>
    <t>K236T</t>
  </si>
  <si>
    <t>p.Arg 239 Cys</t>
  </si>
  <si>
    <t>3, 4, 5, &amp; 6</t>
  </si>
  <si>
    <t>10, 11, 12, &amp; 13</t>
  </si>
  <si>
    <t>(Shiroma et al., 2001)</t>
  </si>
  <si>
    <t>(Shiihara et al., 2002)</t>
  </si>
  <si>
    <t xml:space="preserve">p.Arg 239 Cys </t>
  </si>
  <si>
    <t xml:space="preserve">17-22 </t>
  </si>
  <si>
    <t>26-29</t>
  </si>
  <si>
    <t>Tsuji 2020</t>
  </si>
  <si>
    <t>Heshmatzad 2021</t>
  </si>
  <si>
    <t>Almudhry 2022</t>
  </si>
  <si>
    <t>p.Arg 239 Gly</t>
  </si>
  <si>
    <t>R239G</t>
  </si>
  <si>
    <t>(Osorio et al., 2012)</t>
  </si>
  <si>
    <t>Gopal 2021</t>
  </si>
  <si>
    <t>p.Arg 239 His</t>
  </si>
  <si>
    <t>(Trollmann et al., 2003)</t>
  </si>
  <si>
    <t> 23-27</t>
  </si>
  <si>
    <t>18,20,21</t>
  </si>
  <si>
    <t>Goyal et al 2014</t>
  </si>
  <si>
    <t>30-31</t>
  </si>
  <si>
    <t>Esmer 2016</t>
  </si>
  <si>
    <t>p.Arg 239 Leu</t>
  </si>
  <si>
    <t>(Lee et al., 2006)</t>
  </si>
  <si>
    <t xml:space="preserve">(Shiihara et al., 2011) </t>
  </si>
  <si>
    <t>Mateos 2022</t>
  </si>
  <si>
    <t>p.Arg 239 Pro</t>
  </si>
  <si>
    <t xml:space="preserve">p.Arg 239 Pro </t>
  </si>
  <si>
    <t>#28 in (Li et al., 2005); #1 in van der Knaap 2005; #32 in Jany 2015</t>
  </si>
  <si>
    <t>p.Tyr 242 Asp</t>
  </si>
  <si>
    <t>p.Tyr 242 Asn</t>
  </si>
  <si>
    <t>Y242N</t>
  </si>
  <si>
    <t>mother-son pair</t>
  </si>
  <si>
    <t>Ogura, 2016</t>
  </si>
  <si>
    <t>Yasuda 2017</t>
  </si>
  <si>
    <t>p.Ala 244 Val</t>
  </si>
  <si>
    <t>(Aoki et al., 2001)</t>
  </si>
  <si>
    <t>Kawai 2017</t>
  </si>
  <si>
    <t>p.Ser 247 Phe</t>
  </si>
  <si>
    <t>S247F</t>
  </si>
  <si>
    <t>6, homozygous</t>
  </si>
  <si>
    <t>p.Ser 247 Pro</t>
  </si>
  <si>
    <t>S247P</t>
  </si>
  <si>
    <t>family A</t>
  </si>
  <si>
    <t>(Messing et al, 2012); #34 in Jany 2015</t>
  </si>
  <si>
    <t>p.Ala 253 Gly</t>
  </si>
  <si>
    <t xml:space="preserve"> 30 </t>
  </si>
  <si>
    <t>p.Tyr 257 Cys</t>
  </si>
  <si>
    <t>Y257C</t>
  </si>
  <si>
    <t>(Howard et al. 2008)</t>
  </si>
  <si>
    <t>p.Arg 258 Cys</t>
  </si>
  <si>
    <t>R258C</t>
  </si>
  <si>
    <t>(Yoshida et al., 2011)</t>
  </si>
  <si>
    <t>Spritzer et al., 2013</t>
  </si>
  <si>
    <t>Jost 2017</t>
  </si>
  <si>
    <t>p.Arg 258 Cys?</t>
  </si>
  <si>
    <t>R258C?</t>
  </si>
  <si>
    <t>Fang 2024</t>
  </si>
  <si>
    <t>p.Arg 258 His</t>
  </si>
  <si>
    <t>R258H</t>
  </si>
  <si>
    <t>C</t>
  </si>
  <si>
    <t>p.Arg 258 Pro</t>
  </si>
  <si>
    <t>p.Lys 260 Gln</t>
  </si>
  <si>
    <t>K260Q</t>
  </si>
  <si>
    <t>Zaver 2019</t>
  </si>
  <si>
    <t>p.Leu 264 Pro</t>
  </si>
  <si>
    <t>L264P</t>
  </si>
  <si>
    <t>(Ayaki et al., 2010)</t>
  </si>
  <si>
    <t>p.Ala 267 Pro</t>
  </si>
  <si>
    <t>A267P</t>
  </si>
  <si>
    <t>(Hinttala et al., 2007)</t>
  </si>
  <si>
    <t>Lee et al, 2014</t>
  </si>
  <si>
    <t>p.Ala 268 Asp</t>
  </si>
  <si>
    <t>A268D</t>
  </si>
  <si>
    <t>p.Arg 270 Leu</t>
  </si>
  <si>
    <t>R270L</t>
  </si>
  <si>
    <t>Ito et al., 2011 – abstract</t>
  </si>
  <si>
    <t>p.Arg 270 Pro</t>
  </si>
  <si>
    <t>R270P</t>
  </si>
  <si>
    <t>de Paiva 2016</t>
  </si>
  <si>
    <t>p.Arg 276 Cys</t>
  </si>
  <si>
    <t>R276C</t>
  </si>
  <si>
    <t>Ahmad 2015</t>
  </si>
  <si>
    <t>p.Arg 276 Leu</t>
  </si>
  <si>
    <t>R276L</t>
  </si>
  <si>
    <t>(Namekawa et al. 2002)</t>
  </si>
  <si>
    <t>(Namekawa et al., 2010)</t>
  </si>
  <si>
    <t>(Namekawa et al., 2012)</t>
  </si>
  <si>
    <t>also with SCA6</t>
  </si>
  <si>
    <t>Odo 2020</t>
  </si>
  <si>
    <t>Watanabe et al. 2021</t>
  </si>
  <si>
    <t xml:space="preserve">p.Lys 279 Glu </t>
  </si>
  <si>
    <t>K279E</t>
  </si>
  <si>
    <t>p.Asp 284 Tyr</t>
  </si>
  <si>
    <t>D284Y</t>
  </si>
  <si>
    <t>p.Ile 286 Ser</t>
  </si>
  <si>
    <t>I286S</t>
  </si>
  <si>
    <t>p.Gln 290 Glu</t>
  </si>
  <si>
    <t>Q290E</t>
  </si>
  <si>
    <t>p.Gly 301 Asp</t>
  </si>
  <si>
    <t>G301D</t>
  </si>
  <si>
    <t>p.Glu 312*</t>
  </si>
  <si>
    <t>E312*</t>
  </si>
  <si>
    <t>Nam et al. 2014</t>
  </si>
  <si>
    <t>p.Glu 312 Lys</t>
  </si>
  <si>
    <t>E312K</t>
  </si>
  <si>
    <t>Bonthius 2016</t>
  </si>
  <si>
    <t>p.Glu 320 Lys</t>
  </si>
  <si>
    <t>E320K</t>
  </si>
  <si>
    <t>Oshima 2021</t>
  </si>
  <si>
    <t>p.Arg 330 Pro</t>
  </si>
  <si>
    <t>R330P</t>
  </si>
  <si>
    <t>Machol 2018</t>
  </si>
  <si>
    <t>p.Leu 331 Pro</t>
  </si>
  <si>
    <t>reduced penetrance?</t>
  </si>
  <si>
    <t>(Shiihara et al. 2004)</t>
  </si>
  <si>
    <t>(Jefferson et al. 2010)</t>
  </si>
  <si>
    <t>p.Glu 332 Lys</t>
  </si>
  <si>
    <t>R330G, E332K</t>
  </si>
  <si>
    <t>(Balbi et al. 2008)</t>
  </si>
  <si>
    <t>E332K</t>
  </si>
  <si>
    <t>Sanjo 2024</t>
  </si>
  <si>
    <t>p.Gly 335 Arg</t>
  </si>
  <si>
    <t>G335R</t>
  </si>
  <si>
    <t>unpublished</t>
  </si>
  <si>
    <t>p.Leu 338 Pro</t>
  </si>
  <si>
    <t>L338P</t>
  </si>
  <si>
    <t>p.Leu 346 Ser</t>
  </si>
  <si>
    <t>L346S</t>
  </si>
  <si>
    <t>Weber 2014</t>
  </si>
  <si>
    <t>Garcia-Reitboeck 2015</t>
  </si>
  <si>
    <t>Fan 2021</t>
  </si>
  <si>
    <t xml:space="preserve"> 32 </t>
  </si>
  <si>
    <t>p.Asp 351 His</t>
  </si>
  <si>
    <t>D351H</t>
  </si>
  <si>
    <t>(Tschampa et al., 2011)</t>
  </si>
  <si>
    <t xml:space="preserve">p.Leu 352 Pro </t>
  </si>
  <si>
    <t>severe, 33 (same patient)</t>
  </si>
  <si>
    <t>(Bassuk et al. 2003), (Li et al., 2005)</t>
  </si>
  <si>
    <t>p.Leu 352 Val</t>
  </si>
  <si>
    <t>L352V</t>
  </si>
  <si>
    <t>Mork 2022</t>
  </si>
  <si>
    <t>p.Leu 353 Pro</t>
  </si>
  <si>
    <t>L353P</t>
  </si>
  <si>
    <t>p.Leu 357 Pro</t>
  </si>
  <si>
    <t>L357P</t>
  </si>
  <si>
    <t>(Niinikoski et al., 2009)</t>
  </si>
  <si>
    <t>p.Ala 358 Thr</t>
  </si>
  <si>
    <t>A358T</t>
  </si>
  <si>
    <t>Gafoor 2019</t>
  </si>
  <si>
    <t>p.Ala 358 Val</t>
  </si>
  <si>
    <t xml:space="preserve">(Dinopoulos et al. 2006) </t>
  </si>
  <si>
    <t>p.Leu 359 Pro</t>
  </si>
  <si>
    <t>L359P</t>
  </si>
  <si>
    <t>(Romano et al 2007) (also probably same patient listed as #11 in Caroli et al., 2007)</t>
  </si>
  <si>
    <t>Draghi et al. 2019</t>
  </si>
  <si>
    <t>de Oliveira 2023</t>
  </si>
  <si>
    <t>p.Leu 359 Val</t>
  </si>
  <si>
    <t xml:space="preserve"> 34 </t>
  </si>
  <si>
    <t>(Ramesh et al., 2013)</t>
  </si>
  <si>
    <t>p.Asp 360 Asn</t>
  </si>
  <si>
    <t>D360N</t>
  </si>
  <si>
    <t>Scola et al, 2014</t>
  </si>
  <si>
    <t>p.Asp 360 Val</t>
  </si>
  <si>
    <t>D360V</t>
  </si>
  <si>
    <t xml:space="preserve">(Ishigaki et al. 2006) </t>
  </si>
  <si>
    <t>p.Glu 362 Asp</t>
  </si>
  <si>
    <t>(Sawaishi et al., 2002)</t>
  </si>
  <si>
    <t>p.Glu 362 Gly</t>
  </si>
  <si>
    <t>E362G</t>
  </si>
  <si>
    <t>p.Glu 362 Lys</t>
  </si>
  <si>
    <t>E362K</t>
  </si>
  <si>
    <t>identical twins</t>
  </si>
  <si>
    <t>Hamada 2020</t>
  </si>
  <si>
    <t>p.Glu 362 Gln</t>
  </si>
  <si>
    <t>E362Q</t>
  </si>
  <si>
    <t>p.Ile 363 Thr</t>
  </si>
  <si>
    <t>I363T</t>
  </si>
  <si>
    <t>Kim 2022</t>
  </si>
  <si>
    <t>p.Ile 363 Val</t>
  </si>
  <si>
    <t>I363V</t>
  </si>
  <si>
    <t>Nam 2017</t>
  </si>
  <si>
    <t>p.Ala 364 Pro</t>
  </si>
  <si>
    <t xml:space="preserve">p.Ala 364 Val </t>
  </si>
  <si>
    <t>A364V</t>
  </si>
  <si>
    <t>(Hartmann et al., 2007)</t>
  </si>
  <si>
    <t>p.Ala 364 Val</t>
  </si>
  <si>
    <t>p.Tyr 366 Cys</t>
  </si>
  <si>
    <t>Y366C</t>
  </si>
  <si>
    <t>Takeuchi 2022</t>
  </si>
  <si>
    <t>p.Tyr 366 His</t>
  </si>
  <si>
    <t xml:space="preserve"> 36 </t>
  </si>
  <si>
    <t>p.Leu 369 Pro</t>
  </si>
  <si>
    <t>L369P</t>
  </si>
  <si>
    <t>Knuutinen 2018</t>
  </si>
  <si>
    <t>p.Glu 371 Gly</t>
  </si>
  <si>
    <t>(Kawai et. al., 2006)</t>
  </si>
  <si>
    <t>p.Glu 371 Gln</t>
  </si>
  <si>
    <t>E371Q</t>
  </si>
  <si>
    <t>p.Glu 371 Val</t>
  </si>
  <si>
    <t>E371V</t>
  </si>
  <si>
    <t>p.Glu 373 Ala</t>
  </si>
  <si>
    <t>E373A</t>
  </si>
  <si>
    <t>p.Glu 373 Asp</t>
  </si>
  <si>
    <t>E373D</t>
  </si>
  <si>
    <t>p.Glu 373 Lys</t>
  </si>
  <si>
    <t xml:space="preserve"> 37-38 </t>
  </si>
  <si>
    <t>(Matej et al 2008)</t>
  </si>
  <si>
    <t xml:space="preserve">p.Glu 373 Gln </t>
  </si>
  <si>
    <t>p.Glu 374 Asp</t>
  </si>
  <si>
    <t>E374D</t>
  </si>
  <si>
    <t>p.Glu 374 Gly</t>
  </si>
  <si>
    <t>(Li et al., 2005); #41 in Jany 2015</t>
  </si>
  <si>
    <t>p.Glu 374 Gln</t>
  </si>
  <si>
    <t>E374Q</t>
  </si>
  <si>
    <t>p.Arg 376 Gly</t>
  </si>
  <si>
    <t>R376G</t>
  </si>
  <si>
    <t>(Prust et al., 2011); MRI’s likely shown in Sollee 2021</t>
  </si>
  <si>
    <t>Mahadevan 2022 [abstract]</t>
  </si>
  <si>
    <t>p.Arg 376 Leu</t>
  </si>
  <si>
    <t>R376L</t>
  </si>
  <si>
    <t>DNA change as reported must be a mistake</t>
  </si>
  <si>
    <t>Benzoni 2023 [abstract]</t>
  </si>
  <si>
    <t>p.Arg 376 Gln</t>
  </si>
  <si>
    <t>R376Q</t>
  </si>
  <si>
    <t>Benzoni 2020</t>
  </si>
  <si>
    <t>p.Arg 376 Pro</t>
  </si>
  <si>
    <t>R376P</t>
  </si>
  <si>
    <t>Chang 2024</t>
  </si>
  <si>
    <t>p.Arg 376 Trp</t>
  </si>
  <si>
    <t xml:space="preserve">(Hirayama et al. 2008) </t>
  </si>
  <si>
    <t>Zafeiriou et al. 2013</t>
  </si>
  <si>
    <t>Boczek 2017</t>
  </si>
  <si>
    <t>p.Thr 383 Ile</t>
  </si>
  <si>
    <t>T383I</t>
  </si>
  <si>
    <t xml:space="preserve">(Schmidt et al., 2011) </t>
  </si>
  <si>
    <t>p.Ser 385 Cys</t>
  </si>
  <si>
    <t>S385C</t>
  </si>
  <si>
    <t>p.Ser 385 Phe</t>
  </si>
  <si>
    <t>S385F</t>
  </si>
  <si>
    <t>(Torisu et al., 2013)</t>
  </si>
  <si>
    <t>p.Asn 386 Lys</t>
  </si>
  <si>
    <t>N386K</t>
  </si>
  <si>
    <t>Stitt 2019</t>
  </si>
  <si>
    <t>Xu 2021</t>
  </si>
  <si>
    <t>p.Asn 386 Ile</t>
  </si>
  <si>
    <t>(Caceres-Marzal et al., 2006)</t>
  </si>
  <si>
    <t>p.Asn 386 Ser</t>
  </si>
  <si>
    <t>N386S</t>
  </si>
  <si>
    <t>A</t>
  </si>
  <si>
    <t>6, 8</t>
  </si>
  <si>
    <t>McAuley 2017</t>
  </si>
  <si>
    <t>Lichtenstein 2017</t>
  </si>
  <si>
    <t>Hunt 2021</t>
  </si>
  <si>
    <t>p.Ser 393 Ile</t>
  </si>
  <si>
    <t>S393I</t>
  </si>
  <si>
    <t>(Salmaggi et al., 2007)</t>
  </si>
  <si>
    <t>p.Ser 393 Arg</t>
  </si>
  <si>
    <t>S393R</t>
  </si>
  <si>
    <t>Iwasaki et al 2015</t>
  </si>
  <si>
    <t>p.Asp 395 Tyr</t>
  </si>
  <si>
    <t>D395Y</t>
  </si>
  <si>
    <t>autopsy</t>
  </si>
  <si>
    <t>Battaglia 2019</t>
  </si>
  <si>
    <t>p.Thr 396 Ile</t>
  </si>
  <si>
    <t>T396I</t>
  </si>
  <si>
    <t>Paprocka 2024</t>
  </si>
  <si>
    <t>p.Ser 398 Phe</t>
  </si>
  <si>
    <t>S398F</t>
  </si>
  <si>
    <t>(Sueda et al., 2009)</t>
  </si>
  <si>
    <t>Di Giovanni 2016</t>
  </si>
  <si>
    <t>p.Ser 398 Tyr</t>
  </si>
  <si>
    <t>S398Y</t>
  </si>
  <si>
    <t>(Pareyson 2008); (Farina 2008); #43 in Jany 2015</t>
  </si>
  <si>
    <t>p.Thr 412 Ile</t>
  </si>
  <si>
    <t>T412I</t>
  </si>
  <si>
    <t>p.Met 415 Ile</t>
  </si>
  <si>
    <t>M415I</t>
  </si>
  <si>
    <t>mother-daughter</t>
  </si>
  <si>
    <t>Elmali 2016</t>
  </si>
  <si>
    <t>p.Arg 416 Trp</t>
  </si>
  <si>
    <t xml:space="preserve">11 &amp; 12 </t>
  </si>
  <si>
    <t xml:space="preserve"> adult-onset </t>
  </si>
  <si>
    <t xml:space="preserve">(Kinoshita et al. 2003) </t>
  </si>
  <si>
    <t xml:space="preserve">adult-onset </t>
  </si>
  <si>
    <t>(Thyagarajan et al. 2004)</t>
  </si>
  <si>
    <t xml:space="preserve">p.Arg 416 Trp </t>
  </si>
  <si>
    <t>Nishri et al. 2014</t>
  </si>
  <si>
    <t>46, 48-49</t>
  </si>
  <si>
    <t>Liu 2016</t>
  </si>
  <si>
    <t>2, 16</t>
  </si>
  <si>
    <t>Kirsch 2021</t>
  </si>
  <si>
    <t>deletion, frame-shift</t>
  </si>
  <si>
    <t>(Murakami et al. 2008)</t>
  </si>
  <si>
    <t>(Flint et al., 2012)</t>
  </si>
  <si>
    <t>Nishibayashi 2013</t>
  </si>
  <si>
    <t>p.Asp 417 Ala</t>
  </si>
  <si>
    <t>D417A</t>
  </si>
  <si>
    <t>family B</t>
  </si>
  <si>
    <t>(Messing et al., 2012)</t>
  </si>
  <si>
    <t>p.Gly 418 Val</t>
  </si>
  <si>
    <t>G418V</t>
  </si>
  <si>
    <t>p.Gln 426 Leu</t>
  </si>
  <si>
    <t>Q426L</t>
  </si>
  <si>
    <t>family C</t>
  </si>
  <si>
    <t>(Messing et al., 2012); #50 in Jany 2015</t>
  </si>
  <si>
    <t>T426V</t>
  </si>
  <si>
    <t>Yalcintepe 2023</t>
  </si>
  <si>
    <t>R430H</t>
  </si>
  <si>
    <t>Melchionda 2013</t>
  </si>
  <si>
    <t>Karp 2018</t>
  </si>
  <si>
    <t>Pinto e Vairo 2018</t>
  </si>
  <si>
    <t>R430R</t>
  </si>
  <si>
    <t>Helman 2020</t>
  </si>
  <si>
    <t>Renaldo 2021</t>
  </si>
  <si>
    <t>mosaic</t>
  </si>
  <si>
    <t>IVS-3C&gt;G</t>
  </si>
  <si>
    <t>aberrant splicing, deletes exon 4, encoding E207-K260</t>
  </si>
  <si>
    <t>(insertion is of 20bp)</t>
  </si>
  <si>
    <t>pathogenicity not proven, but predicted to cause aberrant splicing with deletion of exon 5, encoding F261-T302</t>
  </si>
  <si>
    <t>Deletion of exon 5</t>
  </si>
  <si>
    <t>Green 2018</t>
  </si>
  <si>
    <t>Reported as patient #</t>
  </si>
  <si>
    <r>
      <t>(</t>
    </r>
    <r>
      <rPr>
        <u/>
        <sz val="12"/>
        <color rgb="FF0000FF"/>
        <rFont val="Aptos Narrow"/>
        <family val="2"/>
      </rPr>
      <t>Yoshida et al., 2011</t>
    </r>
    <r>
      <rPr>
        <sz val="12"/>
        <color theme="1"/>
        <rFont val="Aptos Narrow"/>
        <family val="2"/>
      </rPr>
      <t>)</t>
    </r>
  </si>
  <si>
    <r>
      <t>Matarese et al. 2008 and #6 in  Jany et al. 2015</t>
    </r>
    <r>
      <rPr>
        <u/>
        <sz val="12"/>
        <color rgb="FF0000FF"/>
        <rFont val="Aptos Narrow"/>
        <family val="2"/>
      </rPr>
      <t xml:space="preserve"> </t>
    </r>
    <r>
      <rPr>
        <sz val="12"/>
        <color theme="1"/>
        <rFont val="Aptos Narrow"/>
        <family val="2"/>
      </rPr>
      <t>and #1 in Kirsch 2021</t>
    </r>
  </si>
  <si>
    <r>
      <t xml:space="preserve">p.Lys 86 Val 87 </t>
    </r>
    <r>
      <rPr>
        <sz val="12"/>
        <color rgb="FFFF0000"/>
        <rFont val="Aptos Narrow"/>
        <family val="2"/>
      </rPr>
      <t>del</t>
    </r>
    <r>
      <rPr>
        <sz val="12"/>
        <color theme="1"/>
        <rFont val="Aptos Narrow"/>
        <family val="2"/>
      </rPr>
      <t xml:space="preserve"> </t>
    </r>
    <r>
      <rPr>
        <sz val="12"/>
        <color rgb="FFFF0000"/>
        <rFont val="Aptos Narrow"/>
        <family val="2"/>
      </rPr>
      <t>ins</t>
    </r>
    <r>
      <rPr>
        <sz val="12"/>
        <color theme="1"/>
        <rFont val="Aptos Narrow"/>
        <family val="2"/>
      </rPr>
      <t xml:space="preserve"> Glu Phe</t>
    </r>
  </si>
  <si>
    <r>
      <t>K86V87</t>
    </r>
    <r>
      <rPr>
        <sz val="12"/>
        <color rgb="FFFF0000"/>
        <rFont val="Aptos Narrow"/>
        <family val="2"/>
      </rPr>
      <t>delins</t>
    </r>
    <r>
      <rPr>
        <sz val="12"/>
        <color theme="1"/>
        <rFont val="Aptos Narrow"/>
        <family val="2"/>
      </rPr>
      <t>EF</t>
    </r>
  </si>
  <si>
    <r>
      <t>(Gorospe et al., 2002)</t>
    </r>
    <r>
      <rPr>
        <sz val="12"/>
        <color rgb="FF0000FF"/>
        <rFont val="Aptos Narrow"/>
        <family val="2"/>
      </rPr>
      <t xml:space="preserve"> </t>
    </r>
    <r>
      <rPr>
        <sz val="12"/>
        <color theme="1"/>
        <rFont val="Aptos Narrow"/>
        <family val="2"/>
      </rPr>
      <t>and #15 in Jany et al. 2015</t>
    </r>
  </si>
  <si>
    <r>
      <t>Yoshida 2017</t>
    </r>
    <r>
      <rPr>
        <u/>
        <sz val="12"/>
        <color rgb="FF000000"/>
        <rFont val="Aptos Narrow"/>
        <family val="2"/>
      </rPr>
      <t xml:space="preserve">; probably also #4 in </t>
    </r>
    <r>
      <rPr>
        <sz val="12"/>
        <color theme="1"/>
        <rFont val="Aptos Narrow"/>
        <family val="2"/>
      </rPr>
      <t>Yoshida 2021</t>
    </r>
  </si>
  <si>
    <r>
      <t xml:space="preserve">p.Arg Leu124-125 </t>
    </r>
    <r>
      <rPr>
        <sz val="12"/>
        <color rgb="FFFF0000"/>
        <rFont val="Aptos Narrow"/>
        <family val="2"/>
      </rPr>
      <t>ins</t>
    </r>
    <r>
      <rPr>
        <sz val="12"/>
        <color theme="1"/>
        <rFont val="Aptos Narrow"/>
        <family val="2"/>
      </rPr>
      <t xml:space="preserve"> Gln Leu Arg</t>
    </r>
  </si>
  <si>
    <r>
      <t xml:space="preserve">RL124-125 </t>
    </r>
    <r>
      <rPr>
        <sz val="12"/>
        <color rgb="FFFF0000"/>
        <rFont val="Aptos Narrow"/>
        <family val="2"/>
      </rPr>
      <t xml:space="preserve">ins </t>
    </r>
    <r>
      <rPr>
        <sz val="12"/>
        <color theme="1"/>
        <rFont val="Aptos Narrow"/>
        <family val="2"/>
      </rPr>
      <t>QLR</t>
    </r>
  </si>
  <si>
    <r>
      <t xml:space="preserve">p.Arg Leu 124-125 </t>
    </r>
    <r>
      <rPr>
        <sz val="12"/>
        <color rgb="FFFF0000"/>
        <rFont val="Aptos Narrow"/>
        <family val="2"/>
      </rPr>
      <t xml:space="preserve">ins </t>
    </r>
    <r>
      <rPr>
        <sz val="12"/>
        <color theme="1"/>
        <rFont val="Aptos Narrow"/>
        <family val="2"/>
      </rPr>
      <t>Glu</t>
    </r>
  </si>
  <si>
    <r>
      <t xml:space="preserve">RL124-125 </t>
    </r>
    <r>
      <rPr>
        <sz val="12"/>
        <color rgb="FFFF0000"/>
        <rFont val="Aptos Narrow"/>
        <family val="2"/>
      </rPr>
      <t>ins</t>
    </r>
    <r>
      <rPr>
        <sz val="12"/>
        <color theme="1"/>
        <rFont val="Aptos Narrow"/>
        <family val="2"/>
      </rPr>
      <t xml:space="preserve"> E</t>
    </r>
  </si>
  <si>
    <r>
      <t xml:space="preserve">p.Arg Leu 126-127 </t>
    </r>
    <r>
      <rPr>
        <sz val="12"/>
        <color rgb="FFFF0000"/>
        <rFont val="Aptos Narrow"/>
        <family val="2"/>
      </rPr>
      <t>dup</t>
    </r>
  </si>
  <si>
    <r>
      <t>RL126-127</t>
    </r>
    <r>
      <rPr>
        <sz val="12"/>
        <color rgb="FFFF0000"/>
        <rFont val="Aptos Narrow"/>
        <family val="2"/>
      </rPr>
      <t>dup</t>
    </r>
  </si>
  <si>
    <r>
      <t xml:space="preserve">p.Glu 138_Leu 148 </t>
    </r>
    <r>
      <rPr>
        <sz val="12"/>
        <color rgb="FFFF0000"/>
        <rFont val="Aptos Narrow"/>
        <family val="2"/>
      </rPr>
      <t>del</t>
    </r>
  </si>
  <si>
    <r>
      <t>E138_L148</t>
    </r>
    <r>
      <rPr>
        <sz val="12"/>
        <color rgb="FFFF0000"/>
        <rFont val="Aptos Narrow"/>
        <family val="2"/>
      </rPr>
      <t>del</t>
    </r>
  </si>
  <si>
    <r>
      <t xml:space="preserve">p.Arg 201 </t>
    </r>
    <r>
      <rPr>
        <sz val="12"/>
        <color rgb="FFFF0000"/>
        <rFont val="Aptos Narrow"/>
        <family val="2"/>
      </rPr>
      <t>del</t>
    </r>
  </si>
  <si>
    <r>
      <t>R201</t>
    </r>
    <r>
      <rPr>
        <sz val="12"/>
        <color rgb="FFFF0000"/>
        <rFont val="Aptos Narrow"/>
        <family val="2"/>
      </rPr>
      <t>del</t>
    </r>
  </si>
  <si>
    <r>
      <t xml:space="preserve">p.K202 </t>
    </r>
    <r>
      <rPr>
        <sz val="12"/>
        <color rgb="FFFF0000"/>
        <rFont val="Aptos Narrow"/>
        <family val="2"/>
      </rPr>
      <t xml:space="preserve">delins </t>
    </r>
    <r>
      <rPr>
        <sz val="12"/>
        <color rgb="FF000000"/>
        <rFont val="Aptos Narrow"/>
        <family val="2"/>
      </rPr>
      <t>EIRFLRE</t>
    </r>
  </si>
  <si>
    <r>
      <t>K202</t>
    </r>
    <r>
      <rPr>
        <sz val="12"/>
        <color rgb="FFFF0000"/>
        <rFont val="Aptos Narrow"/>
        <family val="2"/>
      </rPr>
      <t>delins</t>
    </r>
    <r>
      <rPr>
        <sz val="12"/>
        <color theme="1"/>
        <rFont val="Aptos Narrow"/>
        <family val="2"/>
      </rPr>
      <t>EIRFLRE</t>
    </r>
  </si>
  <si>
    <r>
      <t xml:space="preserve">p.Glu 207 </t>
    </r>
    <r>
      <rPr>
        <sz val="12"/>
        <color rgb="FFFF0000"/>
        <rFont val="Aptos Narrow"/>
        <family val="2"/>
      </rPr>
      <t>del</t>
    </r>
  </si>
  <si>
    <r>
      <t>E207</t>
    </r>
    <r>
      <rPr>
        <sz val="12"/>
        <color rgb="FFFF0000"/>
        <rFont val="Aptos Narrow"/>
        <family val="2"/>
      </rPr>
      <t>del</t>
    </r>
  </si>
  <si>
    <r>
      <t>Delnooz 2008</t>
    </r>
    <r>
      <rPr>
        <sz val="12"/>
        <color rgb="FF0000FF"/>
        <rFont val="Aptos Narrow"/>
        <family val="2"/>
      </rPr>
      <t xml:space="preserve">; </t>
    </r>
    <r>
      <rPr>
        <sz val="12"/>
        <color theme="1"/>
        <rFont val="Aptos Narrow"/>
        <family val="2"/>
      </rPr>
      <t>#24 in Jany 2015</t>
    </r>
  </si>
  <si>
    <r>
      <t>.</t>
    </r>
    <r>
      <rPr>
        <sz val="12"/>
        <color theme="1"/>
        <rFont val="Aptos Narrow"/>
        <family val="2"/>
      </rPr>
      <t xml:space="preserve"> </t>
    </r>
  </si>
  <si>
    <r>
      <t xml:space="preserve">p.Glu 243 </t>
    </r>
    <r>
      <rPr>
        <sz val="12"/>
        <color rgb="FFFF0000"/>
        <rFont val="Aptos Narrow"/>
        <family val="2"/>
      </rPr>
      <t>dup</t>
    </r>
  </si>
  <si>
    <r>
      <t>E243</t>
    </r>
    <r>
      <rPr>
        <sz val="12"/>
        <color rgb="FFFF0000"/>
        <rFont val="Aptos Narrow"/>
        <family val="2"/>
      </rPr>
      <t>dup</t>
    </r>
  </si>
  <si>
    <r>
      <t xml:space="preserve">p.Arg 270_Ala 272 </t>
    </r>
    <r>
      <rPr>
        <sz val="12"/>
        <color rgb="FFFF0000"/>
        <rFont val="Aptos Narrow"/>
        <family val="2"/>
      </rPr>
      <t>del</t>
    </r>
  </si>
  <si>
    <r>
      <t>R270_A272</t>
    </r>
    <r>
      <rPr>
        <sz val="12"/>
        <color rgb="FFFF0000"/>
        <rFont val="Aptos Narrow"/>
        <family val="2"/>
      </rPr>
      <t>del</t>
    </r>
  </si>
  <si>
    <r>
      <t>(Barreau et al., 2011)</t>
    </r>
    <r>
      <rPr>
        <u/>
        <sz val="12"/>
        <color rgb="FF0000FF"/>
        <rFont val="Aptos Narrow"/>
        <family val="2"/>
      </rPr>
      <t xml:space="preserve">; #37 in </t>
    </r>
    <r>
      <rPr>
        <sz val="12"/>
        <color theme="1"/>
        <rFont val="Aptos Narrow"/>
        <family val="2"/>
      </rPr>
      <t>Jany 2015</t>
    </r>
  </si>
  <si>
    <r>
      <t xml:space="preserve">p.Glu 332 </t>
    </r>
    <r>
      <rPr>
        <sz val="12"/>
        <color rgb="FFFF0000"/>
        <rFont val="Aptos Narrow"/>
        <family val="2"/>
      </rPr>
      <t>del</t>
    </r>
  </si>
  <si>
    <r>
      <t>E332</t>
    </r>
    <r>
      <rPr>
        <sz val="12"/>
        <color rgb="FFFF0000"/>
        <rFont val="Aptos Narrow"/>
        <family val="2"/>
      </rPr>
      <t>del</t>
    </r>
  </si>
  <si>
    <r>
      <t xml:space="preserve">p.349 His Leu </t>
    </r>
    <r>
      <rPr>
        <sz val="12"/>
        <color rgb="FFFF0000"/>
        <rFont val="Aptos Narrow"/>
        <family val="2"/>
      </rPr>
      <t>ins</t>
    </r>
  </si>
  <si>
    <r>
      <t>349HL</t>
    </r>
    <r>
      <rPr>
        <sz val="12"/>
        <color rgb="FFFF0000"/>
        <rFont val="Aptos Narrow"/>
        <family val="2"/>
      </rPr>
      <t>ins</t>
    </r>
  </si>
  <si>
    <r>
      <t>Kora 2020</t>
    </r>
    <r>
      <rPr>
        <u/>
        <sz val="12"/>
        <color rgb="FF0000FF"/>
        <rFont val="Aptos Narrow"/>
        <family val="2"/>
      </rPr>
      <t xml:space="preserve">; </t>
    </r>
    <r>
      <rPr>
        <sz val="12"/>
        <color theme="1"/>
        <rFont val="Aptos Narrow"/>
        <family val="2"/>
      </rPr>
      <t>Hamada 2020</t>
    </r>
  </si>
  <si>
    <r>
      <t>Sugiyama et al. 2015</t>
    </r>
    <r>
      <rPr>
        <u/>
        <sz val="12"/>
        <color rgb="FF000000"/>
        <rFont val="Aptos Narrow"/>
        <family val="2"/>
      </rPr>
      <t xml:space="preserve">; also #8 in </t>
    </r>
    <r>
      <rPr>
        <sz val="12"/>
        <color theme="1"/>
        <rFont val="Aptos Narrow"/>
        <family val="2"/>
      </rPr>
      <t>Yoshida 2021</t>
    </r>
  </si>
  <si>
    <r>
      <t>(</t>
    </r>
    <r>
      <rPr>
        <sz val="12"/>
        <color theme="1"/>
        <rFont val="Aptos Narrow"/>
        <family val="2"/>
      </rPr>
      <t>de Souza Rezende et al., 2012</t>
    </r>
    <r>
      <rPr>
        <sz val="12"/>
        <color rgb="FF0000FF"/>
        <rFont val="Aptos Narrow"/>
        <family val="2"/>
      </rPr>
      <t xml:space="preserve">); </t>
    </r>
    <r>
      <rPr>
        <sz val="12"/>
        <color theme="1"/>
        <rFont val="Aptos Narrow"/>
        <family val="2"/>
      </rPr>
      <t>#44-45 in Jany 2015</t>
    </r>
  </si>
  <si>
    <r>
      <t>#10 in (Caroli et al., 2007</t>
    </r>
    <r>
      <rPr>
        <sz val="12"/>
        <color rgb="FF000000"/>
        <rFont val="Aptos Narrow"/>
        <family val="2"/>
      </rPr>
      <t xml:space="preserve">); #3 in </t>
    </r>
    <r>
      <rPr>
        <sz val="12"/>
        <color theme="1"/>
        <rFont val="Aptos Narrow"/>
        <family val="2"/>
      </rPr>
      <t>Pareyson, 2008</t>
    </r>
    <r>
      <rPr>
        <sz val="12"/>
        <color rgb="FF000000"/>
        <rFont val="Aptos Narrow"/>
        <family val="2"/>
      </rPr>
      <t xml:space="preserve"> and </t>
    </r>
    <r>
      <rPr>
        <sz val="12"/>
        <color theme="1"/>
        <rFont val="Aptos Narrow"/>
        <family val="2"/>
      </rPr>
      <t>Farina 2008</t>
    </r>
    <r>
      <rPr>
        <sz val="12"/>
        <color rgb="FF000000"/>
        <rFont val="Aptos Narrow"/>
        <family val="2"/>
      </rPr>
      <t xml:space="preserve">; # 47 in </t>
    </r>
    <r>
      <rPr>
        <sz val="12"/>
        <color theme="1"/>
        <rFont val="Aptos Narrow"/>
        <family val="2"/>
      </rPr>
      <t>Jany 2015</t>
    </r>
  </si>
  <si>
    <r>
      <t xml:space="preserve">p.Asp 417 Met </t>
    </r>
    <r>
      <rPr>
        <sz val="12"/>
        <color rgb="FFFF0000"/>
        <rFont val="Aptos Narrow"/>
        <family val="2"/>
      </rPr>
      <t>fs*15</t>
    </r>
  </si>
  <si>
    <r>
      <t xml:space="preserve">D417M </t>
    </r>
    <r>
      <rPr>
        <sz val="12"/>
        <color rgb="FFFF0000"/>
        <rFont val="Aptos Narrow"/>
        <family val="2"/>
      </rPr>
      <t>fs*15</t>
    </r>
  </si>
  <si>
    <r>
      <t>Helman 2020</t>
    </r>
    <r>
      <rPr>
        <u/>
        <sz val="12"/>
        <color rgb="FF0000FF"/>
        <rFont val="Aptos Narrow"/>
        <family val="2"/>
      </rPr>
      <t xml:space="preserve"> </t>
    </r>
    <r>
      <rPr>
        <u/>
        <sz val="12"/>
        <color rgb="FF000000"/>
        <rFont val="Aptos Narrow"/>
        <family val="2"/>
      </rPr>
      <t xml:space="preserve"># 2 is #43 in </t>
    </r>
    <r>
      <rPr>
        <sz val="12"/>
        <color theme="1"/>
        <rFont val="Aptos Narrow"/>
        <family val="2"/>
      </rPr>
      <t>Li et al., 2005</t>
    </r>
  </si>
  <si>
    <r>
      <t xml:space="preserve">p.Val 431 Asp </t>
    </r>
    <r>
      <rPr>
        <sz val="12"/>
        <color rgb="FFFF0000"/>
        <rFont val="Aptos Narrow"/>
        <family val="2"/>
      </rPr>
      <t>fs*14</t>
    </r>
  </si>
  <si>
    <r>
      <t xml:space="preserve">V431D </t>
    </r>
    <r>
      <rPr>
        <sz val="12"/>
        <color rgb="FFFF0000"/>
        <rFont val="Aptos Narrow"/>
        <family val="2"/>
      </rPr>
      <t>fs*14</t>
    </r>
  </si>
  <si>
    <r>
      <t xml:space="preserve">p.Met 432 Arg </t>
    </r>
    <r>
      <rPr>
        <sz val="12"/>
        <color rgb="FFFF0000"/>
        <rFont val="Aptos Narrow"/>
        <family val="2"/>
      </rPr>
      <t>ter12</t>
    </r>
  </si>
  <si>
    <r>
      <t xml:space="preserve">M432R </t>
    </r>
    <r>
      <rPr>
        <sz val="12"/>
        <color rgb="FFFF0000"/>
        <rFont val="Aptos Narrow"/>
        <family val="2"/>
      </rPr>
      <t>ter12</t>
    </r>
  </si>
  <si>
    <r>
      <t>c.619-1 G&gt;A</t>
    </r>
    <r>
      <rPr>
        <sz val="12"/>
        <color theme="1"/>
        <rFont val="Aptos Narrow"/>
        <family val="2"/>
      </rPr>
      <t xml:space="preserve"> </t>
    </r>
  </si>
  <si>
    <r>
      <t xml:space="preserve">IVS4-24_c812 </t>
    </r>
    <r>
      <rPr>
        <sz val="12"/>
        <color rgb="FFFF0000"/>
        <rFont val="Aptos Narrow"/>
        <family val="2"/>
      </rPr>
      <t>del ins</t>
    </r>
  </si>
  <si>
    <r>
      <t xml:space="preserve">Phe261_Thr302 </t>
    </r>
    <r>
      <rPr>
        <sz val="12"/>
        <color rgb="FFFF0000"/>
        <rFont val="Aptos Narrow"/>
        <family val="2"/>
      </rPr>
      <t>del</t>
    </r>
  </si>
  <si>
    <r>
      <t>F261_T302</t>
    </r>
    <r>
      <rPr>
        <sz val="12"/>
        <color rgb="FFFF0000"/>
        <rFont val="Aptos Narrow"/>
        <family val="2"/>
      </rPr>
      <t>del</t>
    </r>
  </si>
  <si>
    <t>  7</t>
  </si>
  <si>
    <t>  parent of below</t>
  </si>
  <si>
    <t> 9</t>
  </si>
  <si>
    <t>  p.Glu332Lys likely the pathogenic one</t>
  </si>
  <si>
    <t xml:space="preserve">p.Met 73 Thr, p.Val 87 Phe </t>
  </si>
  <si>
    <t>p.Asn 77 Ser,  p.Ser 152 Leu</t>
  </si>
  <si>
    <t>p.Arg 79 His, p.Glu 223 Gln</t>
  </si>
  <si>
    <t>21, pathogenicity uncertain</t>
  </si>
  <si>
    <t>10, Pathogenicity uncertain</t>
  </si>
  <si>
    <t>familial, adult-onset, pathogenicity uncertain</t>
  </si>
  <si>
    <t>p.Arg 330 Gly, p.Glu 332 Lys</t>
  </si>
  <si>
    <t>12-13, mother-daughter pair</t>
  </si>
  <si>
    <t>3 &amp;10, father-son pair</t>
  </si>
  <si>
    <t>adult, familial, (reported incorrectly as 451)</t>
  </si>
  <si>
    <t>p.Thr 426 Val (probably in delta)</t>
  </si>
  <si>
    <t>p.Arg 430 His (in delta)</t>
  </si>
  <si>
    <t>p.Arg 430 Arg (in delta)</t>
  </si>
  <si>
    <t>Variant</t>
  </si>
  <si>
    <t>c.619-1G&gt;A</t>
  </si>
  <si>
    <t>IVS4-24_c812delins</t>
  </si>
  <si>
    <t>(insertionisof20bp)</t>
  </si>
  <si>
    <t>Phe261_Thr302del</t>
  </si>
  <si>
    <t>Gly18Val</t>
  </si>
  <si>
    <t>Leu58Pro</t>
  </si>
  <si>
    <t>Lys63Gln</t>
  </si>
  <si>
    <t>Arg66Gly</t>
  </si>
  <si>
    <t>Arg66Gln</t>
  </si>
  <si>
    <t>Glu69Lys</t>
  </si>
  <si>
    <t>Arg70Gln</t>
  </si>
  <si>
    <t>Arg70Trp</t>
  </si>
  <si>
    <t>Glu72Lys</t>
  </si>
  <si>
    <t>Met73Ile</t>
  </si>
  <si>
    <t>Met73Lys</t>
  </si>
  <si>
    <t>Met73Arg</t>
  </si>
  <si>
    <t>Met73Thr</t>
  </si>
  <si>
    <t>Met73Thr,Val87Phe</t>
  </si>
  <si>
    <t>Met73Val</t>
  </si>
  <si>
    <t>Met74Thr</t>
  </si>
  <si>
    <t>Leu76Phe</t>
  </si>
  <si>
    <t>Leu76HisorGln?</t>
  </si>
  <si>
    <t>Leu76Val</t>
  </si>
  <si>
    <t>Asn77Asp</t>
  </si>
  <si>
    <t>Asn77Lys</t>
  </si>
  <si>
    <t>Asn77Ser</t>
  </si>
  <si>
    <t>Asn77Ser,Ser152Leu</t>
  </si>
  <si>
    <t>Asn77Tyr</t>
  </si>
  <si>
    <t>Asp78Glu</t>
  </si>
  <si>
    <t>Asp78Asn</t>
  </si>
  <si>
    <t>Asp78Tyr</t>
  </si>
  <si>
    <t>Arg79Cys</t>
  </si>
  <si>
    <t>Arg79Gly</t>
  </si>
  <si>
    <t>Arg79His</t>
  </si>
  <si>
    <t>Arg79His,Glu223Gln</t>
  </si>
  <si>
    <t>Arg79Leu</t>
  </si>
  <si>
    <t>Arg79Pro</t>
  </si>
  <si>
    <t>Arg79Ser</t>
  </si>
  <si>
    <t>Phe80Ser</t>
  </si>
  <si>
    <t>Tyr83His</t>
  </si>
  <si>
    <t>Ile84Phe</t>
  </si>
  <si>
    <t>Lys86Glu</t>
  </si>
  <si>
    <t>Lys86Val87delinsGluPhe</t>
  </si>
  <si>
    <t>Val87Asp</t>
  </si>
  <si>
    <t>Val87Gly</t>
  </si>
  <si>
    <t>Val87Ile</t>
  </si>
  <si>
    <t>Val87Leu</t>
  </si>
  <si>
    <t>Arg88Cys</t>
  </si>
  <si>
    <t>Arg88Ser</t>
  </si>
  <si>
    <t>Leu90Pro</t>
  </si>
  <si>
    <t>Gln93Pro</t>
  </si>
  <si>
    <t>Leu97Pro</t>
  </si>
  <si>
    <t>Ala98Pro</t>
  </si>
  <si>
    <t>Leu101Pro</t>
  </si>
  <si>
    <t>Asn102Lys</t>
  </si>
  <si>
    <t>Arg105Pro</t>
  </si>
  <si>
    <t>Arg105Trp</t>
  </si>
  <si>
    <t>Thr110Ser</t>
  </si>
  <si>
    <t>Val115Ile</t>
  </si>
  <si>
    <t>Leu123Pro</t>
  </si>
  <si>
    <t>Arg124Trp</t>
  </si>
  <si>
    <t>ArgLeu124-125insGlnLeuArg</t>
  </si>
  <si>
    <t>ArgLeu124-125insGlu</t>
  </si>
  <si>
    <t>ArgLeu126-127dup</t>
  </si>
  <si>
    <t>Asp128Asn</t>
  </si>
  <si>
    <t>Glu138_Leu148del</t>
  </si>
  <si>
    <t>Arg198Trp</t>
  </si>
  <si>
    <t>Arg201del</t>
  </si>
  <si>
    <t>K202delinsEIRFLRE</t>
  </si>
  <si>
    <t>His204Arg</t>
  </si>
  <si>
    <t>Glu205Lys</t>
  </si>
  <si>
    <t>Glu206Ala</t>
  </si>
  <si>
    <t>Glu206Lys</t>
  </si>
  <si>
    <t>Glu207del</t>
  </si>
  <si>
    <t>Glu207Lys</t>
  </si>
  <si>
    <t>Glu207Gln</t>
  </si>
  <si>
    <t>Glu207Val</t>
  </si>
  <si>
    <t>Glu210Lys</t>
  </si>
  <si>
    <t>Glu223Gln</t>
  </si>
  <si>
    <t>Leu231His</t>
  </si>
  <si>
    <t>Leu235Pro</t>
  </si>
  <si>
    <t>Lys236Thr</t>
  </si>
  <si>
    <t>Arg239Cys</t>
  </si>
  <si>
    <t>Arg239Gly</t>
  </si>
  <si>
    <t>Arg239His</t>
  </si>
  <si>
    <t>Arg239Leu</t>
  </si>
  <si>
    <t>Arg239Pro</t>
  </si>
  <si>
    <t>Tyr242Asp</t>
  </si>
  <si>
    <t>Tyr242Asn</t>
  </si>
  <si>
    <t>Glu243dup</t>
  </si>
  <si>
    <t>Ala244Val</t>
  </si>
  <si>
    <t>Ser247Phe</t>
  </si>
  <si>
    <t>Ser247Pro</t>
  </si>
  <si>
    <t>Ala253Gly</t>
  </si>
  <si>
    <t>Tyr257Cys</t>
  </si>
  <si>
    <t>Arg258Cys</t>
  </si>
  <si>
    <t>Arg258Cys?</t>
  </si>
  <si>
    <t>Arg258His</t>
  </si>
  <si>
    <t>Arg258Pro</t>
  </si>
  <si>
    <t>Lys260Gln</t>
  </si>
  <si>
    <t>Leu264Pro</t>
  </si>
  <si>
    <t>Ala267Pro</t>
  </si>
  <si>
    <t>Ala268Asp</t>
  </si>
  <si>
    <t>Arg270Leu</t>
  </si>
  <si>
    <t>Arg270Pro</t>
  </si>
  <si>
    <t>Arg270_Ala272del</t>
  </si>
  <si>
    <t>Arg276Cys</t>
  </si>
  <si>
    <t>Arg276Leu</t>
  </si>
  <si>
    <t>Lys279Glu</t>
  </si>
  <si>
    <t>Asp284Tyr</t>
  </si>
  <si>
    <t>Ile286Ser</t>
  </si>
  <si>
    <t>Gln290Glu</t>
  </si>
  <si>
    <t>Gly301Asp</t>
  </si>
  <si>
    <t>Glu312*</t>
  </si>
  <si>
    <t>Glu312Lys</t>
  </si>
  <si>
    <t>Glu320Lys</t>
  </si>
  <si>
    <t>Arg330Pro</t>
  </si>
  <si>
    <t>Leu331Pro</t>
  </si>
  <si>
    <t>Glu332del</t>
  </si>
  <si>
    <t>Arg330Gly,Glu332Lys</t>
  </si>
  <si>
    <t>Glu332Lys</t>
  </si>
  <si>
    <t>Gly335Arg</t>
  </si>
  <si>
    <t>Leu338Pro</t>
  </si>
  <si>
    <t>Leu346Ser</t>
  </si>
  <si>
    <t>349HisLeuins</t>
  </si>
  <si>
    <t>Asp351His</t>
  </si>
  <si>
    <t>Leu352Pro</t>
  </si>
  <si>
    <t>Leu352Val</t>
  </si>
  <si>
    <t>Leu353Pro</t>
  </si>
  <si>
    <t>Leu357Pro</t>
  </si>
  <si>
    <t>Ala358Thr</t>
  </si>
  <si>
    <t>Ala358Val</t>
  </si>
  <si>
    <t>Leu359Pro</t>
  </si>
  <si>
    <t>Leu359Val</t>
  </si>
  <si>
    <t>Asp360Asn</t>
  </si>
  <si>
    <t>Asp360Val</t>
  </si>
  <si>
    <t>Glu362Asp</t>
  </si>
  <si>
    <t>Glu362Gly</t>
  </si>
  <si>
    <t>Glu362Lys</t>
  </si>
  <si>
    <t>Glu362Gln</t>
  </si>
  <si>
    <t>Ile363Thr</t>
  </si>
  <si>
    <t>Ile363Val</t>
  </si>
  <si>
    <t>Ala364Pro</t>
  </si>
  <si>
    <t>Ala364Val</t>
  </si>
  <si>
    <t>Tyr366Cys</t>
  </si>
  <si>
    <t>Tyr366His</t>
  </si>
  <si>
    <t>Leu369Pro</t>
  </si>
  <si>
    <t>Glu371Gly</t>
  </si>
  <si>
    <t>Glu371Gln</t>
  </si>
  <si>
    <t>Glu371Val</t>
  </si>
  <si>
    <t>Glu373Ala</t>
  </si>
  <si>
    <t>Glu373Asp</t>
  </si>
  <si>
    <t>Glu373Lys</t>
  </si>
  <si>
    <t>Glu373Gln</t>
  </si>
  <si>
    <t>Glu374Asp</t>
  </si>
  <si>
    <t>Glu374Gly</t>
  </si>
  <si>
    <t>Glu374Gln</t>
  </si>
  <si>
    <t>Arg376Gly</t>
  </si>
  <si>
    <t>Arg376Leu</t>
  </si>
  <si>
    <t>Arg376Gln</t>
  </si>
  <si>
    <t>Arg376Pro</t>
  </si>
  <si>
    <t>Arg376Trp</t>
  </si>
  <si>
    <t>Thr383Ile</t>
  </si>
  <si>
    <t>Ser385Cys</t>
  </si>
  <si>
    <t>Ser385Phe</t>
  </si>
  <si>
    <t>Asn386Lys</t>
  </si>
  <si>
    <t>Asn386Ile</t>
  </si>
  <si>
    <t>Asn386Ser</t>
  </si>
  <si>
    <t>Ser393Ile</t>
  </si>
  <si>
    <t>Ser393Arg</t>
  </si>
  <si>
    <t>Asp395Tyr</t>
  </si>
  <si>
    <t>Thr396Ile</t>
  </si>
  <si>
    <t>Ser398Phe</t>
  </si>
  <si>
    <t>Ser398Tyr</t>
  </si>
  <si>
    <t>Thr412Ile</t>
  </si>
  <si>
    <t>Met415Ile</t>
  </si>
  <si>
    <t>Arg416Trp</t>
  </si>
  <si>
    <t>Asp417Metfs*15</t>
  </si>
  <si>
    <t>Asp417Ala</t>
  </si>
  <si>
    <t>Gly418Val</t>
  </si>
  <si>
    <t>Gln426Leu</t>
  </si>
  <si>
    <t>Thr426Val(probablyindelta)</t>
  </si>
  <si>
    <t>Arg430His(indelta)</t>
  </si>
  <si>
    <t>Arg430Arg(indelta)</t>
  </si>
  <si>
    <t>Val431Aspfs*14</t>
  </si>
  <si>
    <t>Met432Argter12</t>
  </si>
  <si>
    <t>Well</t>
  </si>
  <si>
    <t>AOO</t>
  </si>
  <si>
    <t>2, 1, 2m, 8m, 1y, 6m, 1m, 4y</t>
  </si>
  <si>
    <t>1m</t>
  </si>
  <si>
    <t>3m, 2m, 4m, 6m, 3m</t>
  </si>
  <si>
    <t>0.25m</t>
  </si>
  <si>
    <t>7m</t>
  </si>
  <si>
    <t>3m</t>
  </si>
  <si>
    <t>1.5m, 2m</t>
  </si>
  <si>
    <t>2, 6m</t>
  </si>
  <si>
    <t>3, 6m</t>
  </si>
  <si>
    <t>1, 6m</t>
  </si>
  <si>
    <t>5m</t>
  </si>
  <si>
    <t>0.5, 1.5, 7, 1.67</t>
  </si>
  <si>
    <t>AAAO months</t>
  </si>
  <si>
    <t>AAAO years</t>
  </si>
  <si>
    <t>7,1,6m,7m</t>
  </si>
  <si>
    <t>7-8</t>
  </si>
  <si>
    <t>3-5</t>
  </si>
  <si>
    <t>4, 0.5</t>
  </si>
  <si>
    <t>10,10</t>
  </si>
  <si>
    <t>0.75,2,10</t>
  </si>
  <si>
    <t>0.29, 0</t>
  </si>
  <si>
    <t>10-13</t>
  </si>
  <si>
    <t>0.58,0.5,1.25,0</t>
  </si>
  <si>
    <t>14,6,16</t>
  </si>
  <si>
    <t>2-3</t>
  </si>
  <si>
    <t>0.16,1</t>
  </si>
  <si>
    <t>Average age of onset</t>
  </si>
  <si>
    <t>NA</t>
  </si>
  <si>
    <t>benign</t>
  </si>
  <si>
    <t>benign/likely benign</t>
  </si>
  <si>
    <t>Type</t>
  </si>
  <si>
    <t>intermediate</t>
  </si>
  <si>
    <t>both</t>
  </si>
  <si>
    <t>bulbospinal</t>
  </si>
  <si>
    <t>AlphaMissense score</t>
  </si>
  <si>
    <t>AlphaMissense class</t>
  </si>
  <si>
    <t>pathogenic</t>
  </si>
  <si>
    <t>ambiguous</t>
  </si>
  <si>
    <t>Cytoplasm R1 corrected</t>
  </si>
  <si>
    <t>Cytoplasm Avg rep1 corrected</t>
  </si>
  <si>
    <t>Adult</t>
  </si>
  <si>
    <t>Infantile</t>
  </si>
  <si>
    <t>Juvenile</t>
  </si>
  <si>
    <t>Mixed</t>
  </si>
  <si>
    <t>Mostly infantile</t>
  </si>
  <si>
    <t>wild-type</t>
  </si>
  <si>
    <t>Class</t>
  </si>
  <si>
    <t>yes</t>
  </si>
  <si>
    <t>AOO information?</t>
  </si>
  <si>
    <t>Updated severity</t>
  </si>
  <si>
    <t>IS 1</t>
  </si>
  <si>
    <t>IS 2</t>
  </si>
  <si>
    <t>IS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</si>
</sst>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2"/>
      <color theme="1"/>
      <name val="ArialMT"/>
      <family val="2"/>
    </font>
    <font>
      <b/>
      <sz val="12"/>
      <color theme="1"/>
      <name val="ArialMT"/>
    </font>
    <font>
      <sz val="12"/>
      <color rgb="FF000000"/>
      <name val="ArialMT"/>
      <family val="2"/>
    </font>
    <font>
      <sz val="12"/>
      <color theme="1"/>
      <name val="ArialMT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u/>
      <sz val="12"/>
      <color theme="10"/>
      <name val="ArialMT"/>
      <family val="2"/>
    </font>
    <font>
      <u/>
      <sz val="12"/>
      <color theme="10"/>
      <name val="Aptos Narrow"/>
      <family val="2"/>
    </font>
    <font>
      <u/>
      <sz val="12"/>
      <color rgb="FF0000FF"/>
      <name val="Aptos Narrow"/>
      <family val="2"/>
    </font>
    <font>
      <sz val="12"/>
      <color rgb="FFFFFFFF"/>
      <name val="Aptos Narrow"/>
      <family val="2"/>
    </font>
    <font>
      <sz val="12"/>
      <color rgb="FFFF0000"/>
      <name val="Aptos Narrow"/>
      <family val="2"/>
    </font>
    <font>
      <sz val="12"/>
      <color rgb="FF0000FF"/>
      <name val="Aptos Narrow"/>
      <family val="2"/>
    </font>
    <font>
      <u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0" xfId="0" applyFont="1" applyFill="1"/>
    <xf numFmtId="2" fontId="0" fillId="2" borderId="8" xfId="0" applyNumberFormat="1" applyFill="1" applyBorder="1"/>
    <xf numFmtId="0" fontId="0" fillId="0" borderId="15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0" xfId="0" applyFont="1"/>
    <xf numFmtId="0" fontId="5" fillId="0" borderId="0" xfId="0" applyFont="1"/>
    <xf numFmtId="9" fontId="5" fillId="2" borderId="0" xfId="1" applyFont="1" applyFill="1" applyBorder="1"/>
    <xf numFmtId="9" fontId="5" fillId="0" borderId="0" xfId="1" applyFont="1" applyBorder="1"/>
    <xf numFmtId="0" fontId="4" fillId="2" borderId="0" xfId="0" applyFont="1" applyFill="1"/>
    <xf numFmtId="2" fontId="5" fillId="0" borderId="0" xfId="0" applyNumberFormat="1" applyFont="1"/>
    <xf numFmtId="0" fontId="5" fillId="2" borderId="0" xfId="0" applyFont="1" applyFill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2" applyFont="1" applyBorder="1" applyAlignment="1">
      <alignment vertical="center" wrapText="1"/>
    </xf>
    <xf numFmtId="16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" fontId="5" fillId="0" borderId="0" xfId="0" quotePrefix="1" applyNumberFormat="1" applyFont="1" applyAlignment="1">
      <alignment horizontal="center" vertical="center" wrapText="1"/>
    </xf>
    <xf numFmtId="164" fontId="5" fillId="0" borderId="0" xfId="1" applyNumberFormat="1" applyFont="1"/>
    <xf numFmtId="164" fontId="5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cbi.nlm.nih.gov/pubmed/23364391" TargetMode="External"/><Relationship Id="rId299" Type="http://schemas.openxmlformats.org/officeDocument/2006/relationships/hyperlink" Target="https://www.ncbi.nlm.nih.gov/pubmed/31039531" TargetMode="External"/><Relationship Id="rId21" Type="http://schemas.openxmlformats.org/officeDocument/2006/relationships/hyperlink" Target="https://pubmed.ncbi.nlm.nih.gov/34245630/" TargetMode="External"/><Relationship Id="rId63" Type="http://schemas.openxmlformats.org/officeDocument/2006/relationships/hyperlink" Target="http://eneuro.org/content/2/5/ENEURO.0080-15.2015" TargetMode="External"/><Relationship Id="rId159" Type="http://schemas.openxmlformats.org/officeDocument/2006/relationships/hyperlink" Target="http://www.ncbi.nlm.nih.gov/entrez/query.fcgi?cmd=Retrieve&amp;db=PubMed&amp;list_uids=12026242&amp;dopt=Abstract" TargetMode="External"/><Relationship Id="rId324" Type="http://schemas.openxmlformats.org/officeDocument/2006/relationships/hyperlink" Target="https://pubmed.ncbi.nlm.nih.gov/34692893/" TargetMode="External"/><Relationship Id="rId170" Type="http://schemas.openxmlformats.org/officeDocument/2006/relationships/hyperlink" Target="http://www.ncbi.nlm.nih.gov/pubmed/24306001" TargetMode="External"/><Relationship Id="rId226" Type="http://schemas.openxmlformats.org/officeDocument/2006/relationships/hyperlink" Target="http://www.ncbi.nlm.nih.gov/pubmed/26023202" TargetMode="External"/><Relationship Id="rId268" Type="http://schemas.openxmlformats.org/officeDocument/2006/relationships/hyperlink" Target="http://www.ncbi.nlm.nih.gov/pubmed?term=21917775" TargetMode="External"/><Relationship Id="rId32" Type="http://schemas.openxmlformats.org/officeDocument/2006/relationships/hyperlink" Target="https://pubmed.ncbi.nlm.nih.gov/36088400/" TargetMode="External"/><Relationship Id="rId74" Type="http://schemas.openxmlformats.org/officeDocument/2006/relationships/hyperlink" Target="http://www.ncbi.nlm.nih.gov/pubmed/23903069" TargetMode="External"/><Relationship Id="rId128" Type="http://schemas.openxmlformats.org/officeDocument/2006/relationships/hyperlink" Target="https://www.ncbi.nlm.nih.gov/pubmed/28448978" TargetMode="External"/><Relationship Id="rId335" Type="http://schemas.openxmlformats.org/officeDocument/2006/relationships/hyperlink" Target="https://pubmed.ncbi.nlm.nih.gov/34233935/" TargetMode="External"/><Relationship Id="rId5" Type="http://schemas.openxmlformats.org/officeDocument/2006/relationships/hyperlink" Target="http://www.ncbi.nlm.nih.gov/pubmed?term=21917775" TargetMode="External"/><Relationship Id="rId181" Type="http://schemas.openxmlformats.org/officeDocument/2006/relationships/hyperlink" Target="https://pubmed.ncbi.nlm.nih.gov/29421207/" TargetMode="External"/><Relationship Id="rId237" Type="http://schemas.openxmlformats.org/officeDocument/2006/relationships/hyperlink" Target="http://www.ncbi.nlm.nih.gov/pubmed/26285664" TargetMode="External"/><Relationship Id="rId279" Type="http://schemas.openxmlformats.org/officeDocument/2006/relationships/hyperlink" Target="https://pubmed.ncbi.nlm.nih.gov/34245630/" TargetMode="External"/><Relationship Id="rId43" Type="http://schemas.openxmlformats.org/officeDocument/2006/relationships/hyperlink" Target="https://pubmed.ncbi.nlm.nih.gov/32144715" TargetMode="External"/><Relationship Id="rId139" Type="http://schemas.openxmlformats.org/officeDocument/2006/relationships/hyperlink" Target="https://pubmed.ncbi.nlm.nih.gov/32417628/" TargetMode="External"/><Relationship Id="rId290" Type="http://schemas.openxmlformats.org/officeDocument/2006/relationships/hyperlink" Target="http://www.ncbi.nlm.nih.gov/pubmed/22818990" TargetMode="External"/><Relationship Id="rId304" Type="http://schemas.openxmlformats.org/officeDocument/2006/relationships/hyperlink" Target="http://www.ncbi.nlm.nih.gov/pubmed/?term=25828773" TargetMode="External"/><Relationship Id="rId85" Type="http://schemas.openxmlformats.org/officeDocument/2006/relationships/hyperlink" Target="http://eneuro.org/content/2/5/ENEURO.0080-15.2015" TargetMode="External"/><Relationship Id="rId150" Type="http://schemas.openxmlformats.org/officeDocument/2006/relationships/hyperlink" Target="http://eneuro.org/content/2/5/ENEURO.0080-15.2015" TargetMode="External"/><Relationship Id="rId192" Type="http://schemas.openxmlformats.org/officeDocument/2006/relationships/hyperlink" Target="http://www.ncbi.nlm.nih.gov/entrez/query.fcgi?cmd=Retrieve&amp;db=PubMed&amp;list_uids=11595337&amp;dopt=Abstract" TargetMode="External"/><Relationship Id="rId206" Type="http://schemas.openxmlformats.org/officeDocument/2006/relationships/hyperlink" Target="https://www.ncbi.nlm.nih.gov/pmc/articles/PMC5764465/" TargetMode="External"/><Relationship Id="rId248" Type="http://schemas.openxmlformats.org/officeDocument/2006/relationships/hyperlink" Target="https://pubmed.ncbi.nlm.nih.gov/37474302/" TargetMode="External"/><Relationship Id="rId12" Type="http://schemas.openxmlformats.org/officeDocument/2006/relationships/hyperlink" Target="https://www.ncbi.nlm.nih.gov/pubmed/27402089" TargetMode="External"/><Relationship Id="rId108" Type="http://schemas.openxmlformats.org/officeDocument/2006/relationships/hyperlink" Target="http://eneuro.org/content/2/5/ENEURO.0080-15.2015" TargetMode="External"/><Relationship Id="rId315" Type="http://schemas.openxmlformats.org/officeDocument/2006/relationships/hyperlink" Target="http://www.ncbi.nlm.nih.gov/entrez/query.fcgi?cmd=Retrieve&amp;db=PubMed&amp;list_uids=14550921&amp;dopt=Abstract" TargetMode="External"/><Relationship Id="rId54" Type="http://schemas.openxmlformats.org/officeDocument/2006/relationships/hyperlink" Target="http://www.ncbi.nlm.nih.gov/pubmed/26743065" TargetMode="External"/><Relationship Id="rId96" Type="http://schemas.openxmlformats.org/officeDocument/2006/relationships/hyperlink" Target="http://www.ncbi.nlm.nih.gov/entrez/query.fcgi?cmd=Retrieve&amp;db=PubMed&amp;list_uids=11867077&amp;dopt=Abstract" TargetMode="External"/><Relationship Id="rId161" Type="http://schemas.openxmlformats.org/officeDocument/2006/relationships/hyperlink" Target="http://www.ncbi.nlm.nih.gov/entrez/query.fcgi?cmd=Retrieve&amp;db=PubMed&amp;list_uids=15732097&amp;dopt=Abstract" TargetMode="External"/><Relationship Id="rId217" Type="http://schemas.openxmlformats.org/officeDocument/2006/relationships/hyperlink" Target="http://eneuro.org/content/2/5/ENEURO.0080-15.2015" TargetMode="External"/><Relationship Id="rId259" Type="http://schemas.openxmlformats.org/officeDocument/2006/relationships/hyperlink" Target="https://www.ncbi.nlm.nih.gov/pubmed/29057636" TargetMode="External"/><Relationship Id="rId23" Type="http://schemas.openxmlformats.org/officeDocument/2006/relationships/hyperlink" Target="https://www.ncbi.nlm.nih.gov/pmc/articles/PMC8201446/" TargetMode="External"/><Relationship Id="rId119" Type="http://schemas.openxmlformats.org/officeDocument/2006/relationships/hyperlink" Target="http://www.ncbi.nlm.nih.gov/entrez/query.fcgi?cmd=Retrieve&amp;db=PubMed&amp;list_uids=16217707&amp;dopt=Abstract" TargetMode="External"/><Relationship Id="rId270" Type="http://schemas.openxmlformats.org/officeDocument/2006/relationships/hyperlink" Target="http://www.ncbi.nlm.nih.gov/pubmed?term=21917775" TargetMode="External"/><Relationship Id="rId326" Type="http://schemas.openxmlformats.org/officeDocument/2006/relationships/hyperlink" Target="http://www.ncbi.nlm.nih.gov/pubmed/22488673" TargetMode="External"/><Relationship Id="rId65" Type="http://schemas.openxmlformats.org/officeDocument/2006/relationships/hyperlink" Target="http://www.ncbi.nlm.nih.gov/entrez/query.fcgi?cmd=Retrieve&amp;db=PubMed&amp;list_uids=12034785&amp;dopt=Abstract" TargetMode="External"/><Relationship Id="rId130" Type="http://schemas.openxmlformats.org/officeDocument/2006/relationships/hyperlink" Target="https://www.ncbi.nlm.nih.gov/pubmed/28448978" TargetMode="External"/><Relationship Id="rId172" Type="http://schemas.openxmlformats.org/officeDocument/2006/relationships/hyperlink" Target="http://www.ncbi.nlm.nih.gov/entrez/query.fcgi?cmd=Retrieve&amp;db=PubMed&amp;list_uids=11138011&amp;dopt=Abstract" TargetMode="External"/><Relationship Id="rId228" Type="http://schemas.openxmlformats.org/officeDocument/2006/relationships/hyperlink" Target="https://www.ncbi.nlm.nih.gov/pubmed/28448978" TargetMode="External"/><Relationship Id="rId281" Type="http://schemas.openxmlformats.org/officeDocument/2006/relationships/hyperlink" Target="https://www.ncbi.nlm.nih.gov/pubmed/32223977" TargetMode="External"/><Relationship Id="rId337" Type="http://schemas.openxmlformats.org/officeDocument/2006/relationships/hyperlink" Target="https://www.ncbi.nlm.nih.gov/pubmed/31039531" TargetMode="External"/><Relationship Id="rId34" Type="http://schemas.openxmlformats.org/officeDocument/2006/relationships/hyperlink" Target="http://www.ncbi.nlm.nih.gov/pubmed?term=20849398%5buid%5d&amp;cmd=DetailsSearch" TargetMode="External"/><Relationship Id="rId76" Type="http://schemas.openxmlformats.org/officeDocument/2006/relationships/hyperlink" Target="http://eneuro.org/content/2/5/ENEURO.0080-15.2015" TargetMode="External"/><Relationship Id="rId141" Type="http://schemas.openxmlformats.org/officeDocument/2006/relationships/hyperlink" Target="https://pubmed.ncbi.nlm.nih.gov/34012265/" TargetMode="External"/><Relationship Id="rId7" Type="http://schemas.openxmlformats.org/officeDocument/2006/relationships/hyperlink" Target="http://www.ncbi.nlm.nih.gov/pubmed/24188966" TargetMode="External"/><Relationship Id="rId183" Type="http://schemas.openxmlformats.org/officeDocument/2006/relationships/hyperlink" Target="http://www.ncbi.nlm.nih.gov/pubmed/21041050" TargetMode="External"/><Relationship Id="rId239" Type="http://schemas.openxmlformats.org/officeDocument/2006/relationships/hyperlink" Target="http://www.ncbi.nlm.nih.gov/entrez/query.fcgi?cmd=Retrieve&amp;db=PubMed&amp;list_uids=15732097&amp;dopt=Abstract" TargetMode="External"/><Relationship Id="rId250" Type="http://schemas.openxmlformats.org/officeDocument/2006/relationships/hyperlink" Target="http://www.ncbi.nlm.nih.gov/pubmed/22566711" TargetMode="External"/><Relationship Id="rId292" Type="http://schemas.openxmlformats.org/officeDocument/2006/relationships/hyperlink" Target="https://www.ncbi.nlm.nih.gov/pubmed/30755139" TargetMode="External"/><Relationship Id="rId306" Type="http://schemas.openxmlformats.org/officeDocument/2006/relationships/hyperlink" Target="https://pubmed.ncbi.nlm.nih.gov/34865968/" TargetMode="External"/><Relationship Id="rId45" Type="http://schemas.openxmlformats.org/officeDocument/2006/relationships/hyperlink" Target="http://www.ncbi.nlm.nih.gov/entrez/query.fcgi?cmd=Retrieve&amp;db=PubMed&amp;list_uids=15732097&amp;dopt=Abstract" TargetMode="External"/><Relationship Id="rId87" Type="http://schemas.openxmlformats.org/officeDocument/2006/relationships/hyperlink" Target="http://www.ncbi.nlm.nih.gov/pubmed?term=21917775" TargetMode="External"/><Relationship Id="rId110" Type="http://schemas.openxmlformats.org/officeDocument/2006/relationships/hyperlink" Target="http://www.ncbi.nlm.nih.gov/pubmed/26743065" TargetMode="External"/><Relationship Id="rId152" Type="http://schemas.openxmlformats.org/officeDocument/2006/relationships/hyperlink" Target="http://www.ncbi.nlm.nih.gov/entrez/query.fcgi?cmd=Retrieve&amp;db=PubMed&amp;list_uids=15732097&amp;dopt=Abstract" TargetMode="External"/><Relationship Id="rId194" Type="http://schemas.openxmlformats.org/officeDocument/2006/relationships/hyperlink" Target="https://www.ncbi.nlm.nih.gov/pubmed/28448978" TargetMode="External"/><Relationship Id="rId208" Type="http://schemas.openxmlformats.org/officeDocument/2006/relationships/hyperlink" Target="http://eneuro.org/content/2/5/ENEURO.0080-15.2015" TargetMode="External"/><Relationship Id="rId240" Type="http://schemas.openxmlformats.org/officeDocument/2006/relationships/hyperlink" Target="http://www.ncbi.nlm.nih.gov/pubmed/21132324" TargetMode="External"/><Relationship Id="rId261" Type="http://schemas.openxmlformats.org/officeDocument/2006/relationships/hyperlink" Target="http://www.ncbi.nlm.nih.gov/entrez/query.fcgi?cmd=Retrieve&amp;db=PubMed&amp;list_uids=17985264&amp;dopt=Abstract" TargetMode="External"/><Relationship Id="rId14" Type="http://schemas.openxmlformats.org/officeDocument/2006/relationships/hyperlink" Target="http://www.ncbi.nlm.nih.gov/pubmed/24306001" TargetMode="External"/><Relationship Id="rId35" Type="http://schemas.openxmlformats.org/officeDocument/2006/relationships/hyperlink" Target="https://www.ncbi.nlm.nih.gov/pubmed/31611638" TargetMode="External"/><Relationship Id="rId56" Type="http://schemas.openxmlformats.org/officeDocument/2006/relationships/hyperlink" Target="http://www.ncbi.nlm.nih.gov/entrez/query.fcgi?cmd=Retrieve&amp;db=PubMed&amp;list_uids=12509855&amp;dopt=Abstract" TargetMode="External"/><Relationship Id="rId77" Type="http://schemas.openxmlformats.org/officeDocument/2006/relationships/hyperlink" Target="https://pubmed.ncbi.nlm.nih.gov/27442695/" TargetMode="External"/><Relationship Id="rId100" Type="http://schemas.openxmlformats.org/officeDocument/2006/relationships/hyperlink" Target="http://www.ncbi.nlm.nih.gov/pubmed?term=PMID%3A%2021822933" TargetMode="External"/><Relationship Id="rId282" Type="http://schemas.openxmlformats.org/officeDocument/2006/relationships/hyperlink" Target="https://pubmed.ncbi.nlm.nih.gov/38797659/" TargetMode="External"/><Relationship Id="rId317" Type="http://schemas.openxmlformats.org/officeDocument/2006/relationships/hyperlink" Target="http://www.ncbi.nlm.nih.gov/entrez/query.fcgi?cmd=Retrieve&amp;db=PubMed&amp;list_uids=15732097&amp;dopt=Abstract" TargetMode="External"/><Relationship Id="rId338" Type="http://schemas.openxmlformats.org/officeDocument/2006/relationships/hyperlink" Target="http://www.ncbi.nlm.nih.gov/pubmed/22488673" TargetMode="External"/><Relationship Id="rId8" Type="http://schemas.openxmlformats.org/officeDocument/2006/relationships/hyperlink" Target="https://www.ncbi.nlm.nih.gov/pubmed/32374915" TargetMode="External"/><Relationship Id="rId98" Type="http://schemas.openxmlformats.org/officeDocument/2006/relationships/hyperlink" Target="http://www.ncbi.nlm.nih.gov/pubmed/21902566" TargetMode="External"/><Relationship Id="rId121" Type="http://schemas.openxmlformats.org/officeDocument/2006/relationships/hyperlink" Target="http://www.ncbi.nlm.nih.gov/entrez/query.fcgi?cmd=Retrieve&amp;db=PubMed&amp;list_uids=15732097&amp;dopt=Abstract" TargetMode="External"/><Relationship Id="rId142" Type="http://schemas.openxmlformats.org/officeDocument/2006/relationships/hyperlink" Target="https://www.ncbi.nlm.nih.gov/pmc/articles/PMC8488758/" TargetMode="External"/><Relationship Id="rId163" Type="http://schemas.openxmlformats.org/officeDocument/2006/relationships/hyperlink" Target="http://www.ncbi.nlm.nih.gov/pubmed?term=21917775" TargetMode="External"/><Relationship Id="rId184" Type="http://schemas.openxmlformats.org/officeDocument/2006/relationships/hyperlink" Target="http://www.ncbi.nlm.nih.gov/pubmed?term=21917775" TargetMode="External"/><Relationship Id="rId219" Type="http://schemas.openxmlformats.org/officeDocument/2006/relationships/hyperlink" Target="http://www.ncbi.nlm.nih.gov/entrez/query.fcgi?cmd=Retrieve&amp;db=PubMed&amp;list_uids=12447932&amp;dopt=Abstract" TargetMode="External"/><Relationship Id="rId230" Type="http://schemas.openxmlformats.org/officeDocument/2006/relationships/hyperlink" Target="http://www.ncbi.nlm.nih.gov/pubmed/26719496" TargetMode="External"/><Relationship Id="rId251" Type="http://schemas.openxmlformats.org/officeDocument/2006/relationships/hyperlink" Target="http://www.ncbi.nlm.nih.gov/pubmed/25410460" TargetMode="External"/><Relationship Id="rId25" Type="http://schemas.openxmlformats.org/officeDocument/2006/relationships/hyperlink" Target="https://pubmed.ncbi.nlm.nih.gov/32893243/" TargetMode="External"/><Relationship Id="rId46" Type="http://schemas.openxmlformats.org/officeDocument/2006/relationships/hyperlink" Target="http://www.ncbi.nlm.nih.gov/entrez/query.fcgi?cmd=Retrieve&amp;db=PubMed&amp;list_uids=17894839&amp;dopt=Abstract" TargetMode="External"/><Relationship Id="rId67" Type="http://schemas.openxmlformats.org/officeDocument/2006/relationships/hyperlink" Target="http://www.ncbi.nlm.nih.gov/entrez/query.fcgi?cmd=Retrieve&amp;db=PubMed&amp;list_uids=11138011&amp;dopt=Abstract" TargetMode="External"/><Relationship Id="rId272" Type="http://schemas.openxmlformats.org/officeDocument/2006/relationships/hyperlink" Target="http://eneuro.org/content/2/5/ENEURO.0080-15.2015" TargetMode="External"/><Relationship Id="rId293" Type="http://schemas.openxmlformats.org/officeDocument/2006/relationships/hyperlink" Target="https://pubmed.ncbi.nlm.nih.gov/34800814/" TargetMode="External"/><Relationship Id="rId307" Type="http://schemas.openxmlformats.org/officeDocument/2006/relationships/hyperlink" Target="https://www.mdpi.com/2073-4425/15/3/350" TargetMode="External"/><Relationship Id="rId328" Type="http://schemas.openxmlformats.org/officeDocument/2006/relationships/hyperlink" Target="http://www.ncbi.nlm.nih.gov/pubmed/21987397" TargetMode="External"/><Relationship Id="rId88" Type="http://schemas.openxmlformats.org/officeDocument/2006/relationships/hyperlink" Target="http://www.ncbi.nlm.nih.gov/pubmed/24045243" TargetMode="External"/><Relationship Id="rId111" Type="http://schemas.openxmlformats.org/officeDocument/2006/relationships/hyperlink" Target="https://www.ncbi.nlm.nih.gov/pubmed/30037922" TargetMode="External"/><Relationship Id="rId132" Type="http://schemas.openxmlformats.org/officeDocument/2006/relationships/hyperlink" Target="https://www.ncbi.nlm.nih.gov/pubmed/28448978" TargetMode="External"/><Relationship Id="rId153" Type="http://schemas.openxmlformats.org/officeDocument/2006/relationships/hyperlink" Target="http://www.ncbi.nlm.nih.gov/pubmed?term=21917775" TargetMode="External"/><Relationship Id="rId174" Type="http://schemas.openxmlformats.org/officeDocument/2006/relationships/hyperlink" Target="http://www.ncbi.nlm.nih.gov/entrez/query.fcgi?cmd=Retrieve&amp;db=PubMed&amp;list_uids=15732097&amp;dopt=Abstract" TargetMode="External"/><Relationship Id="rId195" Type="http://schemas.openxmlformats.org/officeDocument/2006/relationships/hyperlink" Target="https://www.ncbi.nlm.nih.gov/pubmed/28681773" TargetMode="External"/><Relationship Id="rId209" Type="http://schemas.openxmlformats.org/officeDocument/2006/relationships/hyperlink" Target="https://www.ncbi.nlm.nih.gov/pubmed/30755773" TargetMode="External"/><Relationship Id="rId220" Type="http://schemas.openxmlformats.org/officeDocument/2006/relationships/hyperlink" Target="http://www.ncbi.nlm.nih.gov/pubmed/20359319" TargetMode="External"/><Relationship Id="rId241" Type="http://schemas.openxmlformats.org/officeDocument/2006/relationships/hyperlink" Target="https://pubmed.ncbi.nlm.nih.gov/35363250/" TargetMode="External"/><Relationship Id="rId15" Type="http://schemas.openxmlformats.org/officeDocument/2006/relationships/hyperlink" Target="http://www.ncbi.nlm.nih.gov/entrez/query.fcgi?cmd=Retrieve&amp;db=PubMed&amp;list_uids=16240361&amp;dopt=Abstract" TargetMode="External"/><Relationship Id="rId36" Type="http://schemas.openxmlformats.org/officeDocument/2006/relationships/hyperlink" Target="http://www.ncbi.nlm.nih.gov/entrez/query.fcgi?cmd=Retrieve&amp;db=PubMed&amp;list_uids=11567214&amp;dopt=Abstract" TargetMode="External"/><Relationship Id="rId57" Type="http://schemas.openxmlformats.org/officeDocument/2006/relationships/hyperlink" Target="http://www.ncbi.nlm.nih.gov/entrez/query.fcgi?cmd=Retrieve&amp;db=PubMed&amp;list_uids=12034785&amp;dopt=Abstract" TargetMode="External"/><Relationship Id="rId262" Type="http://schemas.openxmlformats.org/officeDocument/2006/relationships/hyperlink" Target="https://pubmed.ncbi.nlm.nih.gov/34012265/" TargetMode="External"/><Relationship Id="rId283" Type="http://schemas.openxmlformats.org/officeDocument/2006/relationships/hyperlink" Target="http://www.ncbi.nlm.nih.gov/entrez/query.fcgi?cmd=Retrieve&amp;db=PubMed&amp;list_uids=18217876&amp;dopt=Abstract" TargetMode="External"/><Relationship Id="rId318" Type="http://schemas.openxmlformats.org/officeDocument/2006/relationships/hyperlink" Target="http://www.ncbi.nlm.nih.gov/entrez/query.fcgi?cmd=Retrieve&amp;db=PubMed&amp;list_uids=16505300&amp;dopt=Abstract" TargetMode="External"/><Relationship Id="rId339" Type="http://schemas.openxmlformats.org/officeDocument/2006/relationships/hyperlink" Target="https://pubmed.ncbi.nlm.nih.gov/34245630/" TargetMode="External"/><Relationship Id="rId78" Type="http://schemas.openxmlformats.org/officeDocument/2006/relationships/hyperlink" Target="https://www.ncbi.nlm.nih.gov/pubmed/30134051" TargetMode="External"/><Relationship Id="rId99" Type="http://schemas.openxmlformats.org/officeDocument/2006/relationships/hyperlink" Target="http://www.ncbi.nlm.nih.gov/pubmed/24306001" TargetMode="External"/><Relationship Id="rId101" Type="http://schemas.openxmlformats.org/officeDocument/2006/relationships/hyperlink" Target="http://www.ncbi.nlm.nih.gov/entrez/query.fcgi?cmd=Retrieve&amp;db=PubMed&amp;list_uids=11567214&amp;dopt=Abstract" TargetMode="External"/><Relationship Id="rId122" Type="http://schemas.openxmlformats.org/officeDocument/2006/relationships/hyperlink" Target="https://pubmed.ncbi.nlm.nih.gov/34865968/" TargetMode="External"/><Relationship Id="rId143" Type="http://schemas.openxmlformats.org/officeDocument/2006/relationships/hyperlink" Target="http://www.ncbi.nlm.nih.gov/entrez/query.fcgi?cmd=Retrieve&amp;db=PubMed&amp;list_uids=15732097&amp;dopt=Abstract" TargetMode="External"/><Relationship Id="rId164" Type="http://schemas.openxmlformats.org/officeDocument/2006/relationships/hyperlink" Target="http://www.ncbi.nlm.nih.gov/pubmed/23364391" TargetMode="External"/><Relationship Id="rId185" Type="http://schemas.openxmlformats.org/officeDocument/2006/relationships/hyperlink" Target="https://pubmed.ncbi.nlm.nih.gov/35040226/" TargetMode="External"/><Relationship Id="rId9" Type="http://schemas.openxmlformats.org/officeDocument/2006/relationships/hyperlink" Target="https://pubmed.ncbi.nlm.nih.gov/34012265/" TargetMode="External"/><Relationship Id="rId210" Type="http://schemas.openxmlformats.org/officeDocument/2006/relationships/hyperlink" Target="http://www.ncbi.nlm.nih.gov/pubmed/20562394" TargetMode="External"/><Relationship Id="rId26" Type="http://schemas.openxmlformats.org/officeDocument/2006/relationships/hyperlink" Target="https://pubmed.ncbi.nlm.nih.gov/37658208/" TargetMode="External"/><Relationship Id="rId231" Type="http://schemas.openxmlformats.org/officeDocument/2006/relationships/hyperlink" Target="https://pubmed.ncbi.nlm.nih.gov/34039724/" TargetMode="External"/><Relationship Id="rId252" Type="http://schemas.openxmlformats.org/officeDocument/2006/relationships/hyperlink" Target="https://www.ncbi.nlm.nih.gov/pubmed/31611638" TargetMode="External"/><Relationship Id="rId273" Type="http://schemas.openxmlformats.org/officeDocument/2006/relationships/hyperlink" Target="http://www.ncbi.nlm.nih.gov/pubmed/23364391" TargetMode="External"/><Relationship Id="rId294" Type="http://schemas.openxmlformats.org/officeDocument/2006/relationships/hyperlink" Target="http://www.ncbi.nlm.nih.gov/entrez/query.fcgi?cmd=Retrieve&amp;db=PubMed&amp;list_uids=16996408&amp;dopt=Abstract" TargetMode="External"/><Relationship Id="rId308" Type="http://schemas.openxmlformats.org/officeDocument/2006/relationships/hyperlink" Target="http://www.ncbi.nlm.nih.gov/entrez/query.fcgi?cmd=Retrieve&amp;db=PubMed&amp;list_uids=19618846&amp;dopt=Abstract" TargetMode="External"/><Relationship Id="rId329" Type="http://schemas.openxmlformats.org/officeDocument/2006/relationships/hyperlink" Target="https://pubmed.ncbi.nlm.nih.gov/34865968/" TargetMode="External"/><Relationship Id="rId47" Type="http://schemas.openxmlformats.org/officeDocument/2006/relationships/hyperlink" Target="http://eneuro.org/content/2/5/ENEURO.0080-15.2015" TargetMode="External"/><Relationship Id="rId68" Type="http://schemas.openxmlformats.org/officeDocument/2006/relationships/hyperlink" Target="http://www.ncbi.nlm.nih.gov/entrez/query.fcgi?cmd=Retrieve&amp;db=PubMed&amp;list_uids=12034785&amp;dopt=Abstract" TargetMode="External"/><Relationship Id="rId89" Type="http://schemas.openxmlformats.org/officeDocument/2006/relationships/hyperlink" Target="https://www.ncbi.nlm.nih.gov/pubmed/29573842" TargetMode="External"/><Relationship Id="rId112" Type="http://schemas.openxmlformats.org/officeDocument/2006/relationships/hyperlink" Target="https://www.ncbi.nlm.nih.gov/pubmed/29911736" TargetMode="External"/><Relationship Id="rId133" Type="http://schemas.openxmlformats.org/officeDocument/2006/relationships/hyperlink" Target="https://pubmed.ncbi.nlm.nih.gov/33160717/" TargetMode="External"/><Relationship Id="rId154" Type="http://schemas.openxmlformats.org/officeDocument/2006/relationships/hyperlink" Target="http://www.ncbi.nlm.nih.gov/entrez/query.fcgi?cmd=Retrieve&amp;db=PubMed&amp;list_uids=11138011&amp;dopt=Abstract" TargetMode="External"/><Relationship Id="rId175" Type="http://schemas.openxmlformats.org/officeDocument/2006/relationships/hyperlink" Target="http://www.ncbi.nlm.nih.gov/entrez/query.fcgi?cmd=Retrieve&amp;db=PubMed&amp;list_uids=17894839&amp;dopt=Abstract" TargetMode="External"/><Relationship Id="rId340" Type="http://schemas.openxmlformats.org/officeDocument/2006/relationships/hyperlink" Target="http://www.ncbi.nlm.nih.gov/pubmed/24306001" TargetMode="External"/><Relationship Id="rId196" Type="http://schemas.openxmlformats.org/officeDocument/2006/relationships/hyperlink" Target="https://pubmed.ncbi.nlm.nih.gov/34245630/" TargetMode="External"/><Relationship Id="rId200" Type="http://schemas.openxmlformats.org/officeDocument/2006/relationships/hyperlink" Target="http://www.ncbi.nlm.nih.gov/pubmed/23925719" TargetMode="External"/><Relationship Id="rId16" Type="http://schemas.openxmlformats.org/officeDocument/2006/relationships/hyperlink" Target="http://www.ncbi.nlm.nih.gov/entrez/query.fcgi?cmd=Retrieve&amp;db=PubMed&amp;list_uids=17438228&amp;dopt=Abstract" TargetMode="External"/><Relationship Id="rId221" Type="http://schemas.openxmlformats.org/officeDocument/2006/relationships/hyperlink" Target="http://www.ncbi.nlm.nih.gov/pubmed/22198646" TargetMode="External"/><Relationship Id="rId242" Type="http://schemas.openxmlformats.org/officeDocument/2006/relationships/hyperlink" Target="http://www.ncbi.nlm.nih.gov/entrez/query.fcgi?cmd=Retrieve&amp;db=PubMed&amp;list_uids=19418047&amp;dopt=Abstract" TargetMode="External"/><Relationship Id="rId263" Type="http://schemas.openxmlformats.org/officeDocument/2006/relationships/hyperlink" Target="http://www.ncbi.nlm.nih.gov/entrez/query.fcgi?cmd=Retrieve&amp;db=PubMed&amp;list_uids=17985264&amp;dopt=Abstract" TargetMode="External"/><Relationship Id="rId284" Type="http://schemas.openxmlformats.org/officeDocument/2006/relationships/hyperlink" Target="http://www.ncbi.nlm.nih.gov/pubmed?term=21917775" TargetMode="External"/><Relationship Id="rId319" Type="http://schemas.openxmlformats.org/officeDocument/2006/relationships/hyperlink" Target="http://www.ncbi.nlm.nih.gov/pubmed/24742911" TargetMode="External"/><Relationship Id="rId37" Type="http://schemas.openxmlformats.org/officeDocument/2006/relationships/hyperlink" Target="http://www.ncbi.nlm.nih.gov/entrez/query.fcgi?cmd=Retrieve&amp;db=PubMed&amp;list_uids=15732097&amp;dopt=Abstract" TargetMode="External"/><Relationship Id="rId58" Type="http://schemas.openxmlformats.org/officeDocument/2006/relationships/hyperlink" Target="http://www.ncbi.nlm.nih.gov/entrez/query.fcgi?cmd=Retrieve&amp;db=PubMed&amp;list_uids=12581808&amp;dopt=Abstract" TargetMode="External"/><Relationship Id="rId79" Type="http://schemas.openxmlformats.org/officeDocument/2006/relationships/hyperlink" Target="https://www.ncbi.nlm.nih.gov/pubmed/31942421" TargetMode="External"/><Relationship Id="rId102" Type="http://schemas.openxmlformats.org/officeDocument/2006/relationships/hyperlink" Target="http://www.ncbi.nlm.nih.gov/entrez/query.fcgi?cmd=Retrieve&amp;db=PubMed&amp;list_uids=15732097&amp;dopt=Abstract" TargetMode="External"/><Relationship Id="rId123" Type="http://schemas.openxmlformats.org/officeDocument/2006/relationships/hyperlink" Target="http://www.ncbi.nlm.nih.gov/entrez/query.fcgi?cmd=Retrieve&amp;db=PubMed&amp;list_uids=19412928&amp;dopt=Abstract" TargetMode="External"/><Relationship Id="rId144" Type="http://schemas.openxmlformats.org/officeDocument/2006/relationships/hyperlink" Target="https://www.ncbi.nlm.nih.gov/pubmed/29095329" TargetMode="External"/><Relationship Id="rId330" Type="http://schemas.openxmlformats.org/officeDocument/2006/relationships/hyperlink" Target="http://www.neurology-asia.org/articles/neuroasia-2023-28(4)-1041.pdf" TargetMode="External"/><Relationship Id="rId90" Type="http://schemas.openxmlformats.org/officeDocument/2006/relationships/hyperlink" Target="http://www.ncbi.nlm.nih.gov/entrez/query.fcgi?cmd=Retrieve&amp;db=PubMed&amp;list_uids=18079314&amp;dopt=Abstract" TargetMode="External"/><Relationship Id="rId165" Type="http://schemas.openxmlformats.org/officeDocument/2006/relationships/hyperlink" Target="http://eneuro.org/content/2/5/ENEURO.0080-15.2015" TargetMode="External"/><Relationship Id="rId186" Type="http://schemas.openxmlformats.org/officeDocument/2006/relationships/hyperlink" Target="http://www.ncbi.nlm.nih.gov/entrez/query.fcgi?cmd=Retrieve&amp;db=PubMed&amp;list_uids=12368989&amp;dopt=Abstract" TargetMode="External"/><Relationship Id="rId211" Type="http://schemas.openxmlformats.org/officeDocument/2006/relationships/hyperlink" Target="http://www.ncbi.nlm.nih.gov/pubmed/24306001" TargetMode="External"/><Relationship Id="rId232" Type="http://schemas.openxmlformats.org/officeDocument/2006/relationships/hyperlink" Target="https://www.ncbi.nlm.nih.gov/pubmed/30046660" TargetMode="External"/><Relationship Id="rId253" Type="http://schemas.openxmlformats.org/officeDocument/2006/relationships/hyperlink" Target="http://www.ncbi.nlm.nih.gov/entrez/query.fcgi?cmd=Retrieve&amp;db=PubMed&amp;list_uids=16774812&amp;dopt=Abstract" TargetMode="External"/><Relationship Id="rId274" Type="http://schemas.openxmlformats.org/officeDocument/2006/relationships/hyperlink" Target="http://www.ncbi.nlm.nih.gov/entrez/query.fcgi?cmd=Retrieve&amp;db=PubMed&amp;list_uids=12034785&amp;dopt=Abstract" TargetMode="External"/><Relationship Id="rId295" Type="http://schemas.openxmlformats.org/officeDocument/2006/relationships/hyperlink" Target="https://www.ncbi.nlm.nih.gov/pmc/articles/PMC5764465/" TargetMode="External"/><Relationship Id="rId309" Type="http://schemas.openxmlformats.org/officeDocument/2006/relationships/hyperlink" Target="https://www.ncbi.nlm.nih.gov/pubmed/26396075" TargetMode="External"/><Relationship Id="rId27" Type="http://schemas.openxmlformats.org/officeDocument/2006/relationships/hyperlink" Target="http://www.ncbi.nlm.nih.gov/entrez/query.fcgi?cmd=Retrieve&amp;db=PubMed&amp;list_uids=17894839&amp;dopt=Abstract" TargetMode="External"/><Relationship Id="rId48" Type="http://schemas.openxmlformats.org/officeDocument/2006/relationships/hyperlink" Target="http://eneuro.org/content/2/5/ENEURO.0080-15.2015" TargetMode="External"/><Relationship Id="rId69" Type="http://schemas.openxmlformats.org/officeDocument/2006/relationships/hyperlink" Target="http://www.ncbi.nlm.nih.gov/entrez/query.fcgi?cmd=Retrieve&amp;db=PubMed&amp;list_uids=12368989&amp;dopt=Abstract" TargetMode="External"/><Relationship Id="rId113" Type="http://schemas.openxmlformats.org/officeDocument/2006/relationships/hyperlink" Target="https://www.ncbi.nlm.nih.gov/pubmed/30628038" TargetMode="External"/><Relationship Id="rId134" Type="http://schemas.openxmlformats.org/officeDocument/2006/relationships/hyperlink" Target="http://www.ncbi.nlm.nih.gov/pubmed/?term=25997626" TargetMode="External"/><Relationship Id="rId320" Type="http://schemas.openxmlformats.org/officeDocument/2006/relationships/hyperlink" Target="http://eneuro.org/content/2/5/ENEURO.0080-15.2015" TargetMode="External"/><Relationship Id="rId80" Type="http://schemas.openxmlformats.org/officeDocument/2006/relationships/hyperlink" Target="https://www.ncbi.nlm.nih.gov/pubmed/31956193" TargetMode="External"/><Relationship Id="rId155" Type="http://schemas.openxmlformats.org/officeDocument/2006/relationships/hyperlink" Target="http://www.ncbi.nlm.nih.gov/entrez/query.fcgi?cmd=Retrieve&amp;db=PubMed&amp;list_uids=12034785&amp;dopt=Abstract" TargetMode="External"/><Relationship Id="rId176" Type="http://schemas.openxmlformats.org/officeDocument/2006/relationships/hyperlink" Target="http://www.ncbi.nlm.nih.gov/pubmed?term=21917775" TargetMode="External"/><Relationship Id="rId197" Type="http://schemas.openxmlformats.org/officeDocument/2006/relationships/hyperlink" Target="http://www.ncbi.nlm.nih.gov/entrez/query.fcgi?cmd=Retrieve&amp;db=PubMed&amp;list_uids=15732097&amp;dopt=Abstract" TargetMode="External"/><Relationship Id="rId341" Type="http://schemas.openxmlformats.org/officeDocument/2006/relationships/hyperlink" Target="https://www.ncbi.nlm.nih.gov/pubmed/29253910" TargetMode="External"/><Relationship Id="rId201" Type="http://schemas.openxmlformats.org/officeDocument/2006/relationships/hyperlink" Target="https://www.ncbi.nlm.nih.gov/pubmed/29431177" TargetMode="External"/><Relationship Id="rId222" Type="http://schemas.openxmlformats.org/officeDocument/2006/relationships/hyperlink" Target="https://www.ncbi.nlm.nih.gov/pubmed/31611638" TargetMode="External"/><Relationship Id="rId243" Type="http://schemas.openxmlformats.org/officeDocument/2006/relationships/hyperlink" Target="http://www.ncbi.nlm.nih.gov/pubmed?term=20849398%5buid%5d&amp;cmd=DetailsSearch" TargetMode="External"/><Relationship Id="rId264" Type="http://schemas.openxmlformats.org/officeDocument/2006/relationships/hyperlink" Target="https://pubmed.ncbi.nlm.nih.gov/35003479/" TargetMode="External"/><Relationship Id="rId285" Type="http://schemas.openxmlformats.org/officeDocument/2006/relationships/hyperlink" Target="http://www.ncbi.nlm.nih.gov/pubmed/23149175" TargetMode="External"/><Relationship Id="rId17" Type="http://schemas.openxmlformats.org/officeDocument/2006/relationships/hyperlink" Target="http://www.ncbi.nlm.nih.gov/entrez/query.fcgi?cmd=Retrieve&amp;db=PubMed&amp;list_uids=17894839&amp;dopt=Abstract" TargetMode="External"/><Relationship Id="rId38" Type="http://schemas.openxmlformats.org/officeDocument/2006/relationships/hyperlink" Target="http://www.ncbi.nlm.nih.gov/pubmed?term=21917775" TargetMode="External"/><Relationship Id="rId59" Type="http://schemas.openxmlformats.org/officeDocument/2006/relationships/hyperlink" Target="http://www.ncbi.nlm.nih.gov/entrez/query.fcgi?cmd=Retrieve&amp;db=PubMed&amp;list_uids=17894839&amp;dopt=Abstract" TargetMode="External"/><Relationship Id="rId103" Type="http://schemas.openxmlformats.org/officeDocument/2006/relationships/hyperlink" Target="http://www.ncbi.nlm.nih.gov/entrez/query.fcgi?cmd=Retrieve&amp;db=PubMed&amp;list_uids=15477559&amp;dopt=Abstract" TargetMode="External"/><Relationship Id="rId124" Type="http://schemas.openxmlformats.org/officeDocument/2006/relationships/hyperlink" Target="https://pubmed.ncbi.nlm.nih.gov/37703708/" TargetMode="External"/><Relationship Id="rId310" Type="http://schemas.openxmlformats.org/officeDocument/2006/relationships/hyperlink" Target="http://eneuro.org/content/2/5/ENEURO.0080-15.2015" TargetMode="External"/><Relationship Id="rId70" Type="http://schemas.openxmlformats.org/officeDocument/2006/relationships/hyperlink" Target="http://www.ncbi.nlm.nih.gov/entrez/query.fcgi?cmd=Retrieve&amp;db=PubMed&amp;list_uids=11567214&amp;dopt=Abstract" TargetMode="External"/><Relationship Id="rId91" Type="http://schemas.openxmlformats.org/officeDocument/2006/relationships/hyperlink" Target="https://www.ncbi.nlm.nih.gov/pubmed/?term=27779215" TargetMode="External"/><Relationship Id="rId145" Type="http://schemas.openxmlformats.org/officeDocument/2006/relationships/hyperlink" Target="http://www.ncbi.nlm.nih.gov/entrez/query.fcgi?cmd=Retrieve&amp;db=PubMed&amp;list_uids=15732097&amp;dopt=Abstract" TargetMode="External"/><Relationship Id="rId166" Type="http://schemas.openxmlformats.org/officeDocument/2006/relationships/hyperlink" Target="https://pubmed.ncbi.nlm.nih.gov/32143223" TargetMode="External"/><Relationship Id="rId187" Type="http://schemas.openxmlformats.org/officeDocument/2006/relationships/hyperlink" Target="http://www.ncbi.nlm.nih.gov/entrez/query.fcgi?cmd=Retrieve&amp;db=PubMed&amp;list_uids=17894839&amp;dopt=Abstract" TargetMode="External"/><Relationship Id="rId331" Type="http://schemas.openxmlformats.org/officeDocument/2006/relationships/hyperlink" Target="https://www.ncbi.nlm.nih.gov/pubmed/23634874" TargetMode="External"/><Relationship Id="rId1" Type="http://schemas.openxmlformats.org/officeDocument/2006/relationships/hyperlink" Target="https://www.ncbi.nlm.nih.gov/pubmed/31004048" TargetMode="External"/><Relationship Id="rId212" Type="http://schemas.openxmlformats.org/officeDocument/2006/relationships/hyperlink" Target="http://www.ncbi.nlm.nih.gov/entrez/query.fcgi?cmd=Retrieve&amp;db=PubMed&amp;list_uids=17805552&amp;dopt=Abstract" TargetMode="External"/><Relationship Id="rId233" Type="http://schemas.openxmlformats.org/officeDocument/2006/relationships/hyperlink" Target="http://www.ncbi.nlm.nih.gov/entrez/query.fcgi?cmd=Retrieve&amp;db=PubMed&amp;list_uids=15465095&amp;dopt=Abstract" TargetMode="External"/><Relationship Id="rId254" Type="http://schemas.openxmlformats.org/officeDocument/2006/relationships/hyperlink" Target="http://www.ncbi.nlm.nih.gov/entrez/query.fcgi?cmd=Retrieve&amp;db=PubMed&amp;list_uids=12034796&amp;dopt=Abstract" TargetMode="External"/><Relationship Id="rId28" Type="http://schemas.openxmlformats.org/officeDocument/2006/relationships/hyperlink" Target="http://www.ncbi.nlm.nih.gov/entrez/query.fcgi?cmd=Retrieve&amp;db=PubMed&amp;list_uids=12034785&amp;dopt=Abstract" TargetMode="External"/><Relationship Id="rId49" Type="http://schemas.openxmlformats.org/officeDocument/2006/relationships/hyperlink" Target="https://pubmed.ncbi.nlm.nih.gov/37577938/" TargetMode="External"/><Relationship Id="rId114" Type="http://schemas.openxmlformats.org/officeDocument/2006/relationships/hyperlink" Target="https://pubmed.ncbi.nlm.nih.gov/35831840/" TargetMode="External"/><Relationship Id="rId275" Type="http://schemas.openxmlformats.org/officeDocument/2006/relationships/hyperlink" Target="http://www.ncbi.nlm.nih.gov/entrez/query.fcgi?cmd=Retrieve&amp;db=PubMed&amp;list_uids=15732097&amp;dopt=Abstract" TargetMode="External"/><Relationship Id="rId296" Type="http://schemas.openxmlformats.org/officeDocument/2006/relationships/hyperlink" Target="https://www.ncbi.nlm.nih.gov/pubmed/28448978" TargetMode="External"/><Relationship Id="rId300" Type="http://schemas.openxmlformats.org/officeDocument/2006/relationships/hyperlink" Target="https://www.ncbi.nlm.nih.gov/pubmed/31611638" TargetMode="External"/><Relationship Id="rId60" Type="http://schemas.openxmlformats.org/officeDocument/2006/relationships/hyperlink" Target="http://www.ncbi.nlm.nih.gov/entrez/query.fcgi?cmd=Retrieve&amp;db=PubMed&amp;list_uids=18584981&amp;dopt=Abstract" TargetMode="External"/><Relationship Id="rId81" Type="http://schemas.openxmlformats.org/officeDocument/2006/relationships/hyperlink" Target="https://www.ncbi.nlm.nih.gov/pubmed/31932408" TargetMode="External"/><Relationship Id="rId135" Type="http://schemas.openxmlformats.org/officeDocument/2006/relationships/hyperlink" Target="https://bmcneurol.biomedcentral.com/articles/10.1186/s12883-017-0938-7" TargetMode="External"/><Relationship Id="rId156" Type="http://schemas.openxmlformats.org/officeDocument/2006/relationships/hyperlink" Target="http://www.ncbi.nlm.nih.gov/entrez/query.fcgi?cmd=Retrieve&amp;db=PubMed&amp;list_uids=12368989&amp;dopt=Abstract" TargetMode="External"/><Relationship Id="rId177" Type="http://schemas.openxmlformats.org/officeDocument/2006/relationships/hyperlink" Target="http://www.ncbi.nlm.nih.gov/pubmed/24427505" TargetMode="External"/><Relationship Id="rId198" Type="http://schemas.openxmlformats.org/officeDocument/2006/relationships/hyperlink" Target="http://www.ncbi.nlm.nih.gov/entrez/query.fcgi?cmd=Retrieve&amp;db=PubMed&amp;list_uids=17960815&amp;dopt=Abstract" TargetMode="External"/><Relationship Id="rId321" Type="http://schemas.openxmlformats.org/officeDocument/2006/relationships/hyperlink" Target="https://www.ncbi.nlm.nih.gov/pubmed/?term=27814755" TargetMode="External"/><Relationship Id="rId202" Type="http://schemas.openxmlformats.org/officeDocument/2006/relationships/hyperlink" Target="https://www.ncbi.nlm.nih.gov/pubmed/29911736" TargetMode="External"/><Relationship Id="rId223" Type="http://schemas.openxmlformats.org/officeDocument/2006/relationships/hyperlink" Target="https://pubmed.ncbi.nlm.nih.gov/33134518/" TargetMode="External"/><Relationship Id="rId244" Type="http://schemas.openxmlformats.org/officeDocument/2006/relationships/hyperlink" Target="https://www.ncbi.nlm.nih.gov/pubmed/28448978" TargetMode="External"/><Relationship Id="rId18" Type="http://schemas.openxmlformats.org/officeDocument/2006/relationships/hyperlink" Target="https://www.ncbi.nlm.nih.gov/pubmed/29443213" TargetMode="External"/><Relationship Id="rId39" Type="http://schemas.openxmlformats.org/officeDocument/2006/relationships/hyperlink" Target="http://www.ncbi.nlm.nih.gov/pubmed/23364391" TargetMode="External"/><Relationship Id="rId265" Type="http://schemas.openxmlformats.org/officeDocument/2006/relationships/hyperlink" Target="http://www.ncbi.nlm.nih.gov/entrez/query.fcgi?cmd=Retrieve&amp;db=PubMed&amp;list_uids=15732097&amp;dopt=Abstract" TargetMode="External"/><Relationship Id="rId286" Type="http://schemas.openxmlformats.org/officeDocument/2006/relationships/hyperlink" Target="https://www.ncbi.nlm.nih.gov/pubmed/27648269" TargetMode="External"/><Relationship Id="rId50" Type="http://schemas.openxmlformats.org/officeDocument/2006/relationships/hyperlink" Target="http://www.ncbi.nlm.nih.gov/entrez/query.fcgi?cmd=Retrieve&amp;db=PubMed&amp;list_uids=11567214&amp;dopt=Abstract" TargetMode="External"/><Relationship Id="rId104" Type="http://schemas.openxmlformats.org/officeDocument/2006/relationships/hyperlink" Target="http://www.ncbi.nlm.nih.gov/entrez/query.fcgi?cmd=Retrieve&amp;db=PubMed&amp;list_uids=16217707&amp;dopt=Abstract" TargetMode="External"/><Relationship Id="rId125" Type="http://schemas.openxmlformats.org/officeDocument/2006/relationships/hyperlink" Target="http://eneuro.org/content/2/5/ENEURO.0080-15.2015" TargetMode="External"/><Relationship Id="rId146" Type="http://schemas.openxmlformats.org/officeDocument/2006/relationships/hyperlink" Target="http://www.ncbi.nlm.nih.gov/entrez/query.fcgi?cmd=Retrieve&amp;db=PubMed&amp;list_uids=16217707&amp;dopt=Abstract" TargetMode="External"/><Relationship Id="rId167" Type="http://schemas.openxmlformats.org/officeDocument/2006/relationships/hyperlink" Target="https://pubmed.ncbi.nlm.nih.gov/34146839/" TargetMode="External"/><Relationship Id="rId188" Type="http://schemas.openxmlformats.org/officeDocument/2006/relationships/hyperlink" Target="http://eneuro.org/content/2/5/ENEURO.0080-15.2015" TargetMode="External"/><Relationship Id="rId311" Type="http://schemas.openxmlformats.org/officeDocument/2006/relationships/hyperlink" Target="https://www.ncbi.nlm.nih.gov/pmc/articles/PMC8201446/" TargetMode="External"/><Relationship Id="rId332" Type="http://schemas.openxmlformats.org/officeDocument/2006/relationships/hyperlink" Target="https://www.ncbi.nlm.nih.gov/pubmed/30048824" TargetMode="External"/><Relationship Id="rId71" Type="http://schemas.openxmlformats.org/officeDocument/2006/relationships/hyperlink" Target="http://www.ncbi.nlm.nih.gov/entrez/query.fcgi?cmd=Retrieve&amp;db=PubMed&amp;list_uids=16168593&amp;dopt=Abstract" TargetMode="External"/><Relationship Id="rId92" Type="http://schemas.openxmlformats.org/officeDocument/2006/relationships/hyperlink" Target="http://www.ncbi.nlm.nih.gov/pubmed?term=21572052%5bPMID%5d" TargetMode="External"/><Relationship Id="rId213" Type="http://schemas.openxmlformats.org/officeDocument/2006/relationships/hyperlink" Target="http://www.ncbi.nlm.nih.gov/pubmed/25422405" TargetMode="External"/><Relationship Id="rId234" Type="http://schemas.openxmlformats.org/officeDocument/2006/relationships/hyperlink" Target="http://www.ncbi.nlm.nih.gov/pubmed/20964669" TargetMode="External"/><Relationship Id="rId2" Type="http://schemas.openxmlformats.org/officeDocument/2006/relationships/hyperlink" Target="https://www.ncbi.nlm.nih.gov/pmc/articles/PMC9128028/" TargetMode="External"/><Relationship Id="rId29" Type="http://schemas.openxmlformats.org/officeDocument/2006/relationships/hyperlink" Target="http://www.ncbi.nlm.nih.gov/entrez/query.fcgi?cmd=Retrieve&amp;db=PubMed&amp;list_uids=15732097&amp;dopt=Abstract" TargetMode="External"/><Relationship Id="rId255" Type="http://schemas.openxmlformats.org/officeDocument/2006/relationships/hyperlink" Target="http://www.ncbi.nlm.nih.gov/pubmed/23903069" TargetMode="External"/><Relationship Id="rId276" Type="http://schemas.openxmlformats.org/officeDocument/2006/relationships/hyperlink" Target="http://www.ncbi.nlm.nih.gov/entrez/query.fcgi?cmd=Retrieve&amp;db=PubMed&amp;list_uids=18402384&amp;dopt=Abstract" TargetMode="External"/><Relationship Id="rId297" Type="http://schemas.openxmlformats.org/officeDocument/2006/relationships/hyperlink" Target="https://www.ncbi.nlm.nih.gov/pubmed/28438749" TargetMode="External"/><Relationship Id="rId40" Type="http://schemas.openxmlformats.org/officeDocument/2006/relationships/hyperlink" Target="https://www.ncbi.nlm.nih.gov/pubmed/28112050" TargetMode="External"/><Relationship Id="rId115" Type="http://schemas.openxmlformats.org/officeDocument/2006/relationships/hyperlink" Target="https://www.ncbi.nlm.nih.gov/pmc/articles/PMC9807021/" TargetMode="External"/><Relationship Id="rId136" Type="http://schemas.openxmlformats.org/officeDocument/2006/relationships/hyperlink" Target="https://www.ncbi.nlm.nih.gov/pubmed/30942895" TargetMode="External"/><Relationship Id="rId157" Type="http://schemas.openxmlformats.org/officeDocument/2006/relationships/hyperlink" Target="http://www.ncbi.nlm.nih.gov/entrez/query.fcgi?cmd=Retrieve&amp;db=PubMed&amp;list_uids=11567214&amp;dopt=Abstract" TargetMode="External"/><Relationship Id="rId178" Type="http://schemas.openxmlformats.org/officeDocument/2006/relationships/hyperlink" Target="http://www.ncbi.nlm.nih.gov/pubmed/23364391" TargetMode="External"/><Relationship Id="rId301" Type="http://schemas.openxmlformats.org/officeDocument/2006/relationships/hyperlink" Target="https://www.ncbi.nlm.nih.gov/pubmed/32223977" TargetMode="External"/><Relationship Id="rId322" Type="http://schemas.openxmlformats.org/officeDocument/2006/relationships/hyperlink" Target="https://www.ncbi.nlm.nih.gov/pubmed/28448978" TargetMode="External"/><Relationship Id="rId61" Type="http://schemas.openxmlformats.org/officeDocument/2006/relationships/hyperlink" Target="http://www.ncbi.nlm.nih.gov/pubmed/23254569" TargetMode="External"/><Relationship Id="rId82" Type="http://schemas.openxmlformats.org/officeDocument/2006/relationships/hyperlink" Target="https://pubmed.ncbi.nlm.nih.gov/34248569/" TargetMode="External"/><Relationship Id="rId199" Type="http://schemas.openxmlformats.org/officeDocument/2006/relationships/hyperlink" Target="http://www.ncbi.nlm.nih.gov/pubmed?term=20849398%5buid%5d&amp;cmd=DetailsSearch" TargetMode="External"/><Relationship Id="rId203" Type="http://schemas.openxmlformats.org/officeDocument/2006/relationships/hyperlink" Target="https://www.ncbi.nlm.nih.gov/pubmed/31611638" TargetMode="External"/><Relationship Id="rId19" Type="http://schemas.openxmlformats.org/officeDocument/2006/relationships/hyperlink" Target="https://www.ncbi.nlm.nih.gov/pubmed/31611638" TargetMode="External"/><Relationship Id="rId224" Type="http://schemas.openxmlformats.org/officeDocument/2006/relationships/hyperlink" Target="https://pubmed.ncbi.nlm.nih.gov/33863523/" TargetMode="External"/><Relationship Id="rId245" Type="http://schemas.openxmlformats.org/officeDocument/2006/relationships/hyperlink" Target="https://www.ncbi.nlm.nih.gov/pubmed/31744992" TargetMode="External"/><Relationship Id="rId266" Type="http://schemas.openxmlformats.org/officeDocument/2006/relationships/hyperlink" Target="https://www.ncbi.nlm.nih.gov/pubmed/29801191" TargetMode="External"/><Relationship Id="rId287" Type="http://schemas.openxmlformats.org/officeDocument/2006/relationships/hyperlink" Target="http://www.ncbi.nlm.nih.gov/pubmed/21165639" TargetMode="External"/><Relationship Id="rId30" Type="http://schemas.openxmlformats.org/officeDocument/2006/relationships/hyperlink" Target="http://www.ncbi.nlm.nih.gov/entrez/query.fcgi?cmd=Retrieve&amp;db=PubMed&amp;list_uids=18653683&amp;dopt=Abstract" TargetMode="External"/><Relationship Id="rId105" Type="http://schemas.openxmlformats.org/officeDocument/2006/relationships/hyperlink" Target="http://www.ncbi.nlm.nih.gov/entrez/query.fcgi?cmd=Retrieve&amp;db=PubMed&amp;list_uids=17894839&amp;dopt=Abstract" TargetMode="External"/><Relationship Id="rId126" Type="http://schemas.openxmlformats.org/officeDocument/2006/relationships/hyperlink" Target="https://pubmed.ncbi.nlm.nih.gov/15732098/" TargetMode="External"/><Relationship Id="rId147" Type="http://schemas.openxmlformats.org/officeDocument/2006/relationships/hyperlink" Target="http://www.ncbi.nlm.nih.gov/entrez/query.fcgi?cmd=Retrieve&amp;db=PubMed&amp;list_uids=16505300&amp;dopt=Abstract" TargetMode="External"/><Relationship Id="rId168" Type="http://schemas.openxmlformats.org/officeDocument/2006/relationships/hyperlink" Target="https://pubmed.ncbi.nlm.nih.gov/34678550/" TargetMode="External"/><Relationship Id="rId312" Type="http://schemas.openxmlformats.org/officeDocument/2006/relationships/hyperlink" Target="https://www.ncbi.nlm.nih.gov/pubmed/28360791" TargetMode="External"/><Relationship Id="rId333" Type="http://schemas.openxmlformats.org/officeDocument/2006/relationships/hyperlink" Target="https://www.ncbi.nlm.nih.gov/pubmed/30355306" TargetMode="External"/><Relationship Id="rId51" Type="http://schemas.openxmlformats.org/officeDocument/2006/relationships/hyperlink" Target="http://www.ncbi.nlm.nih.gov/entrez/query.fcgi?cmd=Retrieve&amp;db=PubMed&amp;list_uids=12975300&amp;dopt=Abstract" TargetMode="External"/><Relationship Id="rId72" Type="http://schemas.openxmlformats.org/officeDocument/2006/relationships/hyperlink" Target="http://www.ncbi.nlm.nih.gov/pubmed?term=20849398%5buid%5d&amp;cmd=DetailsSearch" TargetMode="External"/><Relationship Id="rId93" Type="http://schemas.openxmlformats.org/officeDocument/2006/relationships/hyperlink" Target="http://www.ncbi.nlm.nih.gov/pubmed?term=21917775" TargetMode="External"/><Relationship Id="rId189" Type="http://schemas.openxmlformats.org/officeDocument/2006/relationships/hyperlink" Target="http://www.ncbi.nlm.nih.gov/entrez/query.fcgi?cmd=Retrieve&amp;db=PubMed&amp;list_uids=12034785&amp;dopt=Abstract" TargetMode="External"/><Relationship Id="rId3" Type="http://schemas.openxmlformats.org/officeDocument/2006/relationships/hyperlink" Target="http://www.ncbi.nlm.nih.gov/entrez/query.fcgi?cmd=Retrieve&amp;db=PubMed&amp;list_uids=15732097&amp;dopt=Abstract" TargetMode="External"/><Relationship Id="rId214" Type="http://schemas.openxmlformats.org/officeDocument/2006/relationships/hyperlink" Target="http://www.ncbi.nlm.nih.gov/pubmed/23903069" TargetMode="External"/><Relationship Id="rId235" Type="http://schemas.openxmlformats.org/officeDocument/2006/relationships/hyperlink" Target="http://www.ncbi.nlm.nih.gov/entrez/query.fcgi?cmd=Retrieve&amp;db=PubMed&amp;list_uids=18004641&amp;dopt=Abstract" TargetMode="External"/><Relationship Id="rId256" Type="http://schemas.openxmlformats.org/officeDocument/2006/relationships/hyperlink" Target="https://pubmed.ncbi.nlm.nih.gov/33395615/" TargetMode="External"/><Relationship Id="rId277" Type="http://schemas.openxmlformats.org/officeDocument/2006/relationships/hyperlink" Target="http://www.ncbi.nlm.nih.gov/pubmed?term=21917775" TargetMode="External"/><Relationship Id="rId298" Type="http://schemas.openxmlformats.org/officeDocument/2006/relationships/hyperlink" Target="https://www.ncbi.nlm.nih.gov/pubmed/29620072" TargetMode="External"/><Relationship Id="rId116" Type="http://schemas.openxmlformats.org/officeDocument/2006/relationships/hyperlink" Target="http://www.ncbi.nlm.nih.gov/entrez/query.fcgi?cmd=Retrieve&amp;db=PubMed&amp;list_uids=11567214&amp;dopt=Abstract" TargetMode="External"/><Relationship Id="rId137" Type="http://schemas.openxmlformats.org/officeDocument/2006/relationships/hyperlink" Target="https://pubmed.ncbi.nlm.nih.gov/35246666/" TargetMode="External"/><Relationship Id="rId158" Type="http://schemas.openxmlformats.org/officeDocument/2006/relationships/hyperlink" Target="http://www.ncbi.nlm.nih.gov/entrez/query.fcgi?cmd=Retrieve&amp;db=PubMed&amp;list_uids=11587071&amp;dopt=Abstract" TargetMode="External"/><Relationship Id="rId302" Type="http://schemas.openxmlformats.org/officeDocument/2006/relationships/hyperlink" Target="https://pubmed.ncbi.nlm.nih.gov/34046764/" TargetMode="External"/><Relationship Id="rId323" Type="http://schemas.openxmlformats.org/officeDocument/2006/relationships/hyperlink" Target="https://www.ncbi.nlm.nih.gov/pubmed/31039531" TargetMode="External"/><Relationship Id="rId20" Type="http://schemas.openxmlformats.org/officeDocument/2006/relationships/hyperlink" Target="https://www.ncbi.nlm.nih.gov/pubmed/31952467" TargetMode="External"/><Relationship Id="rId41" Type="http://schemas.openxmlformats.org/officeDocument/2006/relationships/hyperlink" Target="https://pubmed.ncbi.nlm.nih.gov/37455276/" TargetMode="External"/><Relationship Id="rId62" Type="http://schemas.openxmlformats.org/officeDocument/2006/relationships/hyperlink" Target="http://www.ncbi.nlm.nih.gov/pubmed/23364391" TargetMode="External"/><Relationship Id="rId83" Type="http://schemas.openxmlformats.org/officeDocument/2006/relationships/hyperlink" Target="http://www.ncbi.nlm.nih.gov/entrez/query.fcgi?cmd=Retrieve&amp;db=PubMed&amp;list_uids=19444543&amp;dopt=Abstract" TargetMode="External"/><Relationship Id="rId179" Type="http://schemas.openxmlformats.org/officeDocument/2006/relationships/hyperlink" Target="http://www.ncbi.nlm.nih.gov/pubmed/25584279" TargetMode="External"/><Relationship Id="rId190" Type="http://schemas.openxmlformats.org/officeDocument/2006/relationships/hyperlink" Target="https://pubmed.ncbi.nlm.nih.gov/30363563/" TargetMode="External"/><Relationship Id="rId204" Type="http://schemas.openxmlformats.org/officeDocument/2006/relationships/hyperlink" Target="https://pubmed.ncbi.nlm.nih.gov/34245630/" TargetMode="External"/><Relationship Id="rId225" Type="http://schemas.openxmlformats.org/officeDocument/2006/relationships/hyperlink" Target="http://www.ncbi.nlm.nih.gov/entrez/query.fcgi?cmd=Retrieve&amp;db=PubMed&amp;list_uids=15732097&amp;dopt=Abstract" TargetMode="External"/><Relationship Id="rId246" Type="http://schemas.openxmlformats.org/officeDocument/2006/relationships/hyperlink" Target="http://www.ncbi.nlm.nih.gov/entrez/query.fcgi?cmd=Retrieve&amp;db=PubMed&amp;list_uids=17110673&amp;dopt=Abstract" TargetMode="External"/><Relationship Id="rId267" Type="http://schemas.openxmlformats.org/officeDocument/2006/relationships/hyperlink" Target="http://www.ncbi.nlm.nih.gov/entrez/query.fcgi?cmd=Retrieve&amp;db=PubMed&amp;list_uids=16168595&amp;dopt=Abstract" TargetMode="External"/><Relationship Id="rId288" Type="http://schemas.openxmlformats.org/officeDocument/2006/relationships/hyperlink" Target="http://www.ncbi.nlm.nih.gov/pubmed/24306001" TargetMode="External"/><Relationship Id="rId106" Type="http://schemas.openxmlformats.org/officeDocument/2006/relationships/hyperlink" Target="http://www.ncbi.nlm.nih.gov/entrez/query.fcgi?cmd=Retrieve&amp;db=PubMed&amp;list_uids=18079314&amp;dopt=Abstract" TargetMode="External"/><Relationship Id="rId127" Type="http://schemas.openxmlformats.org/officeDocument/2006/relationships/hyperlink" Target="http://eneuro.org/content/2/5/ENEURO.0080-15.2015" TargetMode="External"/><Relationship Id="rId313" Type="http://schemas.openxmlformats.org/officeDocument/2006/relationships/hyperlink" Target="http://www.ncbi.nlm.nih.gov/entrez/query.fcgi?cmd=Retrieve&amp;db=PubMed&amp;list_uids=11138011&amp;dopt=Abstract" TargetMode="External"/><Relationship Id="rId10" Type="http://schemas.openxmlformats.org/officeDocument/2006/relationships/hyperlink" Target="https://pubmed.ncbi.nlm.nih.gov/37396762/" TargetMode="External"/><Relationship Id="rId31" Type="http://schemas.openxmlformats.org/officeDocument/2006/relationships/hyperlink" Target="https://www.ncbi.nlm.nih.gov/pubmed/29339051" TargetMode="External"/><Relationship Id="rId52" Type="http://schemas.openxmlformats.org/officeDocument/2006/relationships/hyperlink" Target="http://www.ncbi.nlm.nih.gov/pubmed/23743246" TargetMode="External"/><Relationship Id="rId73" Type="http://schemas.openxmlformats.org/officeDocument/2006/relationships/hyperlink" Target="http://www.ncbi.nlm.nih.gov/pubmed/?term=zang+l+183" TargetMode="External"/><Relationship Id="rId94" Type="http://schemas.openxmlformats.org/officeDocument/2006/relationships/hyperlink" Target="http://www.ncbi.nlm.nih.gov/entrez/query.fcgi?cmd=Retrieve&amp;db=PubMed&amp;list_uids=16505300&amp;dopt=Abstract" TargetMode="External"/><Relationship Id="rId148" Type="http://schemas.openxmlformats.org/officeDocument/2006/relationships/hyperlink" Target="https://www.ncbi.nlm.nih.gov/pmc/articles/PMC5764465/" TargetMode="External"/><Relationship Id="rId169" Type="http://schemas.openxmlformats.org/officeDocument/2006/relationships/hyperlink" Target="http://www.ncbi.nlm.nih.gov/pubmed/21940697" TargetMode="External"/><Relationship Id="rId334" Type="http://schemas.openxmlformats.org/officeDocument/2006/relationships/hyperlink" Target="https://www.ncbi.nlm.nih.gov/pubmed/32126152" TargetMode="External"/><Relationship Id="rId4" Type="http://schemas.openxmlformats.org/officeDocument/2006/relationships/hyperlink" Target="http://www.ncbi.nlm.nih.gov/pubmed/26486671" TargetMode="External"/><Relationship Id="rId180" Type="http://schemas.openxmlformats.org/officeDocument/2006/relationships/hyperlink" Target="http://eneuro.org/content/2/5/ENEURO.0080-15.2015" TargetMode="External"/><Relationship Id="rId215" Type="http://schemas.openxmlformats.org/officeDocument/2006/relationships/hyperlink" Target="https://www.ncbi.nlm.nih.gov/pubmed/28448978" TargetMode="External"/><Relationship Id="rId236" Type="http://schemas.openxmlformats.org/officeDocument/2006/relationships/hyperlink" Target="https://www.jstage.jst.go.jp/article/internalmedicine/63/2/63_1726-23/_article" TargetMode="External"/><Relationship Id="rId257" Type="http://schemas.openxmlformats.org/officeDocument/2006/relationships/hyperlink" Target="http://eneuro.org/content/2/5/ENEURO.0080-15.2015" TargetMode="External"/><Relationship Id="rId278" Type="http://schemas.openxmlformats.org/officeDocument/2006/relationships/hyperlink" Target="http://www.ncbi.nlm.nih.gov/entrez/query.fcgi?cmd=Retrieve&amp;db=PubMed&amp;list_uids=15732097&amp;dopt=Abstract" TargetMode="External"/><Relationship Id="rId303" Type="http://schemas.openxmlformats.org/officeDocument/2006/relationships/hyperlink" Target="http://www.ncbi.nlm.nih.gov/entrez/query.fcgi?cmd=Retrieve&amp;db=PubMed&amp;list_uids=17703343&amp;dopt=Abstract" TargetMode="External"/><Relationship Id="rId42" Type="http://schemas.openxmlformats.org/officeDocument/2006/relationships/hyperlink" Target="http://www.ncbi.nlm.nih.gov/entrez/query.fcgi?cmd=Retrieve&amp;db=PubMed&amp;list_uids=15732097&amp;dopt=Abstract" TargetMode="External"/><Relationship Id="rId84" Type="http://schemas.openxmlformats.org/officeDocument/2006/relationships/hyperlink" Target="http://www.ncbi.nlm.nih.gov/pubmed/23364391" TargetMode="External"/><Relationship Id="rId138" Type="http://schemas.openxmlformats.org/officeDocument/2006/relationships/hyperlink" Target="https://pubmed.ncbi.nlm.nih.gov/37495513/" TargetMode="External"/><Relationship Id="rId191" Type="http://schemas.openxmlformats.org/officeDocument/2006/relationships/hyperlink" Target="https://www.ncbi.nlm.nih.gov/pmc/articles/PMC5498426/" TargetMode="External"/><Relationship Id="rId205" Type="http://schemas.openxmlformats.org/officeDocument/2006/relationships/hyperlink" Target="https://pubmed.ncbi.nlm.nih.gov/38443058/" TargetMode="External"/><Relationship Id="rId247" Type="http://schemas.openxmlformats.org/officeDocument/2006/relationships/hyperlink" Target="https://www.ncbi.nlm.nih.gov/pubmed/31039531" TargetMode="External"/><Relationship Id="rId107" Type="http://schemas.openxmlformats.org/officeDocument/2006/relationships/hyperlink" Target="http://www.ncbi.nlm.nih.gov/pubmed/23364391" TargetMode="External"/><Relationship Id="rId289" Type="http://schemas.openxmlformats.org/officeDocument/2006/relationships/hyperlink" Target="http://www.ncbi.nlm.nih.gov/pubmed/26285664" TargetMode="External"/><Relationship Id="rId11" Type="http://schemas.openxmlformats.org/officeDocument/2006/relationships/hyperlink" Target="http://www.ncbi.nlm.nih.gov/pubmed/21270471" TargetMode="External"/><Relationship Id="rId53" Type="http://schemas.openxmlformats.org/officeDocument/2006/relationships/hyperlink" Target="https://pubmed.ncbi.nlm.nih.gov/34245630/" TargetMode="External"/><Relationship Id="rId149" Type="http://schemas.openxmlformats.org/officeDocument/2006/relationships/hyperlink" Target="http://www.ncbi.nlm.nih.gov/entrez/query.fcgi?cmd=Retrieve&amp;db=PubMed&amp;list_uids=12944715&amp;dopt=Abstract" TargetMode="External"/><Relationship Id="rId314" Type="http://schemas.openxmlformats.org/officeDocument/2006/relationships/hyperlink" Target="http://www.ncbi.nlm.nih.gov/entrez/query.fcgi?cmd=Retrieve&amp;db=PubMed&amp;list_uids=12034785&amp;dopt=Abstract" TargetMode="External"/><Relationship Id="rId95" Type="http://schemas.openxmlformats.org/officeDocument/2006/relationships/hyperlink" Target="https://www.frontiersin.org/journals/neurology/articles/10.3389/fneur.2024.1362013/full" TargetMode="External"/><Relationship Id="rId160" Type="http://schemas.openxmlformats.org/officeDocument/2006/relationships/hyperlink" Target="http://www.ncbi.nlm.nih.gov/entrez/query.fcgi?cmd=Retrieve&amp;db=PubMed&amp;list_uids=12581808&amp;dopt=Abstract" TargetMode="External"/><Relationship Id="rId216" Type="http://schemas.openxmlformats.org/officeDocument/2006/relationships/hyperlink" Target="http://www.ncbi.nlm.nih.gov/pubmed/26914930" TargetMode="External"/><Relationship Id="rId258" Type="http://schemas.openxmlformats.org/officeDocument/2006/relationships/hyperlink" Target="https://pubmed.ncbi.nlm.nih.gov/36153801/" TargetMode="External"/><Relationship Id="rId22" Type="http://schemas.openxmlformats.org/officeDocument/2006/relationships/hyperlink" Target="http://www.ncbi.nlm.nih.gov/pubmed?term=21917775" TargetMode="External"/><Relationship Id="rId64" Type="http://schemas.openxmlformats.org/officeDocument/2006/relationships/hyperlink" Target="https://pubmed.ncbi.nlm.nih.gov/27442695/" TargetMode="External"/><Relationship Id="rId118" Type="http://schemas.openxmlformats.org/officeDocument/2006/relationships/hyperlink" Target="http://www.ncbi.nlm.nih.gov/entrez/query.fcgi?cmd=Retrieve&amp;db=PubMed&amp;list_uids=15030911&amp;dopt=Abstract" TargetMode="External"/><Relationship Id="rId325" Type="http://schemas.openxmlformats.org/officeDocument/2006/relationships/hyperlink" Target="http://www.ncbi.nlm.nih.gov/entrez/query.fcgi?cmd=Retrieve&amp;db=PubMed&amp;list_uids=18054694&amp;dopt=Abstract" TargetMode="External"/><Relationship Id="rId171" Type="http://schemas.openxmlformats.org/officeDocument/2006/relationships/hyperlink" Target="https://n.neurology.org/content/96/5/e814.long" TargetMode="External"/><Relationship Id="rId227" Type="http://schemas.openxmlformats.org/officeDocument/2006/relationships/hyperlink" Target="https://pubmed.ncbi.nlm.nih.gov/34245630/" TargetMode="External"/><Relationship Id="rId269" Type="http://schemas.openxmlformats.org/officeDocument/2006/relationships/hyperlink" Target="http://eneuro.org/content/2/5/ENEURO.0080-15.2015" TargetMode="External"/><Relationship Id="rId33" Type="http://schemas.openxmlformats.org/officeDocument/2006/relationships/hyperlink" Target="http://www.ncbi.nlm.nih.gov/entrez/query.fcgi?cmd=Retrieve&amp;db=PubMed&amp;list_uids=17934883&amp;dopt=Abstract" TargetMode="External"/><Relationship Id="rId129" Type="http://schemas.openxmlformats.org/officeDocument/2006/relationships/hyperlink" Target="http://www.ncbi.nlm.nih.gov/pubmed/23706596" TargetMode="External"/><Relationship Id="rId280" Type="http://schemas.openxmlformats.org/officeDocument/2006/relationships/hyperlink" Target="http://www.ncbi.nlm.nih.gov/pubmed/23364391" TargetMode="External"/><Relationship Id="rId336" Type="http://schemas.openxmlformats.org/officeDocument/2006/relationships/hyperlink" Target="http://www.ncbi.nlm.nih.gov/pubmed/22488673" TargetMode="External"/><Relationship Id="rId75" Type="http://schemas.openxmlformats.org/officeDocument/2006/relationships/hyperlink" Target="http://www.ncbi.nlm.nih.gov/pubmed/24427505" TargetMode="External"/><Relationship Id="rId140" Type="http://schemas.openxmlformats.org/officeDocument/2006/relationships/hyperlink" Target="https://pubmed.ncbi.nlm.nih.gov/32775528/" TargetMode="External"/><Relationship Id="rId182" Type="http://schemas.openxmlformats.org/officeDocument/2006/relationships/hyperlink" Target="http://www.ncbi.nlm.nih.gov/entrez/query.fcgi?cmd=Retrieve&amp;db=PubMed&amp;list_uids=17043438&amp;dopt=Abstract" TargetMode="External"/><Relationship Id="rId6" Type="http://schemas.openxmlformats.org/officeDocument/2006/relationships/hyperlink" Target="http://www.ncbi.nlm.nih.gov/pubmed/22619055" TargetMode="External"/><Relationship Id="rId238" Type="http://schemas.openxmlformats.org/officeDocument/2006/relationships/hyperlink" Target="https://pubmed.ncbi.nlm.nih.gov/34928305/" TargetMode="External"/><Relationship Id="rId291" Type="http://schemas.openxmlformats.org/officeDocument/2006/relationships/hyperlink" Target="http://www.ncbi.nlm.nih.gov/pubmed/23364391" TargetMode="External"/><Relationship Id="rId305" Type="http://schemas.openxmlformats.org/officeDocument/2006/relationships/hyperlink" Target="https://www.ncbi.nlm.nih.gov/pubmed/31682229" TargetMode="External"/><Relationship Id="rId44" Type="http://schemas.openxmlformats.org/officeDocument/2006/relationships/hyperlink" Target="http://www.ncbi.nlm.nih.gov/pubmed/?term=23364391" TargetMode="External"/><Relationship Id="rId86" Type="http://schemas.openxmlformats.org/officeDocument/2006/relationships/hyperlink" Target="http://www.ncbi.nlm.nih.gov/entrez/query.fcgi?cmd=Retrieve&amp;db=PubMed&amp;list_uids=17894839&amp;dopt=Abstract" TargetMode="External"/><Relationship Id="rId151" Type="http://schemas.openxmlformats.org/officeDocument/2006/relationships/hyperlink" Target="http://www.ncbi.nlm.nih.gov/entrez/query.fcgi?cmd=Retrieve&amp;db=PubMed&amp;list_uids=15732097&amp;dopt=Abstract" TargetMode="External"/><Relationship Id="rId193" Type="http://schemas.openxmlformats.org/officeDocument/2006/relationships/hyperlink" Target="http://www.ncbi.nlm.nih.gov/entrez/query.fcgi?cmd=Retrieve&amp;db=PubMed&amp;list_uids=15732097&amp;dopt=Abstract" TargetMode="External"/><Relationship Id="rId207" Type="http://schemas.openxmlformats.org/officeDocument/2006/relationships/hyperlink" Target="http://www.ncbi.nlm.nih.gov/entrez/query.fcgi?cmd=Retrieve&amp;db=PubMed&amp;list_uids=11138011&amp;dopt=Abstract" TargetMode="External"/><Relationship Id="rId249" Type="http://schemas.openxmlformats.org/officeDocument/2006/relationships/hyperlink" Target="http://www.ncbi.nlm.nih.gov/entrez/query.fcgi?cmd=Retrieve&amp;db=PubMed&amp;list_uids=15732097&amp;dopt=Abstract" TargetMode="External"/><Relationship Id="rId13" Type="http://schemas.openxmlformats.org/officeDocument/2006/relationships/hyperlink" Target="https://www.ncbi.nlm.nih.gov/pubmed/29191363" TargetMode="External"/><Relationship Id="rId109" Type="http://schemas.openxmlformats.org/officeDocument/2006/relationships/hyperlink" Target="https://pubmed.ncbi.nlm.nih.gov/27442695/" TargetMode="External"/><Relationship Id="rId260" Type="http://schemas.openxmlformats.org/officeDocument/2006/relationships/hyperlink" Target="http://www.ncbi.nlm.nih.gov/entrez/query.fcgi?cmd=Retrieve&amp;db=PubMed&amp;list_uids=15732097&amp;dopt=Abstract" TargetMode="External"/><Relationship Id="rId316" Type="http://schemas.openxmlformats.org/officeDocument/2006/relationships/hyperlink" Target="http://www.ncbi.nlm.nih.gov/entrez/query.fcgi?cmd=Retrieve&amp;db=PubMed&amp;list_uids=15390001&amp;dopt=Abstract" TargetMode="External"/><Relationship Id="rId55" Type="http://schemas.openxmlformats.org/officeDocument/2006/relationships/hyperlink" Target="http://www.ncbi.nlm.nih.gov/entrez/query.fcgi?cmd=Retrieve&amp;db=PubMed&amp;list_uids=11138011&amp;dopt=Abstract" TargetMode="External"/><Relationship Id="rId97" Type="http://schemas.openxmlformats.org/officeDocument/2006/relationships/hyperlink" Target="http://www.ncbi.nlm.nih.gov/pubmed?term=20849398%5buid%5d&amp;cmd=DetailsSearch" TargetMode="External"/><Relationship Id="rId120" Type="http://schemas.openxmlformats.org/officeDocument/2006/relationships/hyperlink" Target="http://www.ncbi.nlm.nih.gov/entrez/query.fcgi?cmd=Retrieve&amp;db=PubMed&amp;list_uids=12368989&amp;dopt=Abstract" TargetMode="External"/><Relationship Id="rId162" Type="http://schemas.openxmlformats.org/officeDocument/2006/relationships/hyperlink" Target="http://www.ncbi.nlm.nih.gov/pubmed?term=21572052%5bPMID%5d" TargetMode="External"/><Relationship Id="rId218" Type="http://schemas.openxmlformats.org/officeDocument/2006/relationships/hyperlink" Target="http://www.ncbi.nlm.nih.gov/pubmed/26023202" TargetMode="External"/><Relationship Id="rId271" Type="http://schemas.openxmlformats.org/officeDocument/2006/relationships/hyperlink" Target="http://www.ncbi.nlm.nih.gov/pubmed/24306001" TargetMode="External"/><Relationship Id="rId24" Type="http://schemas.openxmlformats.org/officeDocument/2006/relationships/hyperlink" Target="https://www.ncbi.nlm.nih.gov/pubmed/31781017" TargetMode="External"/><Relationship Id="rId66" Type="http://schemas.openxmlformats.org/officeDocument/2006/relationships/hyperlink" Target="http://eneuro.org/content/2/5/ENEURO.0080-15.2015" TargetMode="External"/><Relationship Id="rId131" Type="http://schemas.openxmlformats.org/officeDocument/2006/relationships/hyperlink" Target="http://www.ncbi.nlm.nih.gov/entrez/query.fcgi?cmd=Retrieve&amp;db=PubMed&amp;list_uids=16505300&amp;dopt=Abstract" TargetMode="External"/><Relationship Id="rId327" Type="http://schemas.openxmlformats.org/officeDocument/2006/relationships/hyperlink" Target="https://pubmed.ncbi.nlm.nih.gov/23890466" TargetMode="External"/><Relationship Id="rId173" Type="http://schemas.openxmlformats.org/officeDocument/2006/relationships/hyperlink" Target="http://www.ncbi.nlm.nih.gov/entrez/query.fcgi?cmd=Retrieve&amp;db=PubMed&amp;list_uids=11567214&amp;dopt=Abstract" TargetMode="External"/><Relationship Id="rId229" Type="http://schemas.openxmlformats.org/officeDocument/2006/relationships/hyperlink" Target="http://www.ncbi.nlm.nih.gov/pubmed/24755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C5-167B-7141-9FA7-19A700D648B2}">
  <dimension ref="A1:M55"/>
  <sheetViews>
    <sheetView workbookViewId="0">
      <pane ySplit="1" topLeftCell="A16" activePane="bottomLeft" state="frozen"/>
      <selection pane="bottomLeft" activeCell="B45" sqref="B45:L45"/>
    </sheetView>
  </sheetViews>
  <sheetFormatPr baseColWidth="10" defaultRowHeight="16"/>
  <cols>
    <col min="6" max="9" width="17.5703125" customWidth="1"/>
    <col min="10" max="10" width="10.7109375" style="15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5" t="s">
        <v>1</v>
      </c>
      <c r="F1" s="2" t="s">
        <v>4</v>
      </c>
      <c r="G1" s="2" t="s">
        <v>5</v>
      </c>
      <c r="H1" s="2" t="s">
        <v>6</v>
      </c>
      <c r="I1" s="2" t="s">
        <v>198</v>
      </c>
      <c r="J1" s="28" t="s">
        <v>7</v>
      </c>
      <c r="K1" s="2" t="s">
        <v>8</v>
      </c>
      <c r="L1" s="2" t="s">
        <v>199</v>
      </c>
      <c r="M1" s="2" t="s">
        <v>10</v>
      </c>
    </row>
    <row r="2" spans="1:13">
      <c r="A2" s="6" t="s">
        <v>11</v>
      </c>
      <c r="B2" s="7" t="s">
        <v>12</v>
      </c>
      <c r="C2" s="7" t="s">
        <v>13</v>
      </c>
      <c r="D2" s="7" t="s">
        <v>14</v>
      </c>
      <c r="E2" s="8" t="s">
        <v>12</v>
      </c>
      <c r="F2" s="9">
        <v>57</v>
      </c>
      <c r="G2" s="9">
        <v>20</v>
      </c>
      <c r="H2" s="9">
        <v>0</v>
      </c>
      <c r="I2" s="9">
        <v>23</v>
      </c>
      <c r="J2" s="29">
        <v>0</v>
      </c>
      <c r="K2" s="10">
        <f t="shared" ref="K2:K19" si="0">G2/F2</f>
        <v>0.35087719298245612</v>
      </c>
      <c r="L2" t="s">
        <v>200</v>
      </c>
      <c r="M2" t="s">
        <v>14</v>
      </c>
    </row>
    <row r="3" spans="1:13">
      <c r="A3" s="6" t="s">
        <v>11</v>
      </c>
      <c r="B3" s="7" t="s">
        <v>15</v>
      </c>
      <c r="C3" s="7" t="s">
        <v>16</v>
      </c>
      <c r="D3" s="7" t="s">
        <v>17</v>
      </c>
      <c r="E3" s="8" t="s">
        <v>15</v>
      </c>
      <c r="F3" s="9">
        <v>50</v>
      </c>
      <c r="G3" s="9">
        <v>43</v>
      </c>
      <c r="H3" s="9">
        <v>29</v>
      </c>
      <c r="I3" s="9">
        <v>0</v>
      </c>
      <c r="J3" s="29">
        <v>0.57999999999999996</v>
      </c>
      <c r="K3" s="10">
        <f t="shared" si="0"/>
        <v>0.86</v>
      </c>
      <c r="M3" t="s">
        <v>18</v>
      </c>
    </row>
    <row r="4" spans="1:13">
      <c r="A4" s="6" t="s">
        <v>11</v>
      </c>
      <c r="B4" s="7" t="s">
        <v>19</v>
      </c>
      <c r="C4" s="7" t="s">
        <v>20</v>
      </c>
      <c r="D4" s="7" t="s">
        <v>21</v>
      </c>
      <c r="E4" s="8" t="s">
        <v>19</v>
      </c>
      <c r="F4" s="9">
        <v>53</v>
      </c>
      <c r="G4" s="9">
        <v>47</v>
      </c>
      <c r="H4" s="9">
        <v>41</v>
      </c>
      <c r="I4" s="9">
        <v>0</v>
      </c>
      <c r="J4" s="29">
        <v>0.77358490566037741</v>
      </c>
      <c r="K4" s="10">
        <f t="shared" si="0"/>
        <v>0.8867924528301887</v>
      </c>
      <c r="M4" t="s">
        <v>18</v>
      </c>
    </row>
    <row r="5" spans="1:13">
      <c r="A5" s="6" t="s">
        <v>11</v>
      </c>
      <c r="B5" s="7" t="s">
        <v>22</v>
      </c>
      <c r="C5" s="7" t="s">
        <v>23</v>
      </c>
      <c r="D5" s="7" t="s">
        <v>24</v>
      </c>
      <c r="E5" s="8" t="s">
        <v>22</v>
      </c>
      <c r="F5" s="9">
        <v>52</v>
      </c>
      <c r="G5" s="9">
        <v>34</v>
      </c>
      <c r="H5" s="9">
        <v>19</v>
      </c>
      <c r="I5" s="9">
        <v>1</v>
      </c>
      <c r="J5" s="29">
        <v>0.36538461538461536</v>
      </c>
      <c r="K5" s="10">
        <f t="shared" si="0"/>
        <v>0.65384615384615385</v>
      </c>
      <c r="M5" t="s">
        <v>18</v>
      </c>
    </row>
    <row r="6" spans="1:13">
      <c r="A6" s="6" t="s">
        <v>11</v>
      </c>
      <c r="B6" s="7" t="s">
        <v>25</v>
      </c>
      <c r="C6" s="7" t="s">
        <v>26</v>
      </c>
      <c r="D6" s="7" t="s">
        <v>27</v>
      </c>
      <c r="E6" s="8" t="s">
        <v>25</v>
      </c>
      <c r="F6" s="9">
        <v>55</v>
      </c>
      <c r="G6" s="9">
        <v>12</v>
      </c>
      <c r="H6" s="9">
        <v>0</v>
      </c>
      <c r="I6" s="9">
        <v>8</v>
      </c>
      <c r="J6" s="29">
        <v>0</v>
      </c>
      <c r="K6" s="10">
        <f t="shared" si="0"/>
        <v>0.21818181818181817</v>
      </c>
      <c r="L6" t="s">
        <v>200</v>
      </c>
      <c r="M6" t="s">
        <v>28</v>
      </c>
    </row>
    <row r="7" spans="1:13">
      <c r="A7" s="6" t="s">
        <v>11</v>
      </c>
      <c r="B7" s="7" t="s">
        <v>29</v>
      </c>
      <c r="C7" s="7" t="s">
        <v>30</v>
      </c>
      <c r="D7" s="7" t="s">
        <v>31</v>
      </c>
      <c r="E7" s="8" t="s">
        <v>29</v>
      </c>
      <c r="F7" s="9">
        <v>56</v>
      </c>
      <c r="G7" s="9">
        <v>53</v>
      </c>
      <c r="H7" s="9">
        <v>13</v>
      </c>
      <c r="I7" s="9">
        <v>0</v>
      </c>
      <c r="J7" s="29">
        <v>0.23214285714285715</v>
      </c>
      <c r="K7" s="10">
        <f t="shared" si="0"/>
        <v>0.9464285714285714</v>
      </c>
      <c r="M7" t="s">
        <v>32</v>
      </c>
    </row>
    <row r="8" spans="1:13">
      <c r="A8" s="6" t="s">
        <v>11</v>
      </c>
      <c r="B8" s="7" t="s">
        <v>33</v>
      </c>
      <c r="C8" s="7" t="s">
        <v>34</v>
      </c>
      <c r="D8" s="7" t="s">
        <v>35</v>
      </c>
      <c r="E8" s="8" t="s">
        <v>33</v>
      </c>
      <c r="F8" s="9">
        <v>55</v>
      </c>
      <c r="G8" s="9">
        <v>22</v>
      </c>
      <c r="H8" s="9">
        <v>21</v>
      </c>
      <c r="I8" s="9">
        <v>2</v>
      </c>
      <c r="J8" s="29">
        <v>0.38181818181818183</v>
      </c>
      <c r="K8" s="10">
        <f t="shared" si="0"/>
        <v>0.4</v>
      </c>
      <c r="M8" t="s">
        <v>18</v>
      </c>
    </row>
    <row r="9" spans="1:13">
      <c r="A9" s="6" t="s">
        <v>11</v>
      </c>
      <c r="B9" s="7" t="s">
        <v>36</v>
      </c>
      <c r="C9" s="7" t="s">
        <v>37</v>
      </c>
      <c r="D9" s="7" t="s">
        <v>38</v>
      </c>
      <c r="E9" s="8" t="s">
        <v>36</v>
      </c>
      <c r="F9" s="9">
        <v>50</v>
      </c>
      <c r="G9" s="9">
        <v>35</v>
      </c>
      <c r="H9" s="9">
        <v>28</v>
      </c>
      <c r="I9" s="9">
        <v>0</v>
      </c>
      <c r="J9" s="29">
        <v>0.56000000000000005</v>
      </c>
      <c r="K9" s="10">
        <f t="shared" si="0"/>
        <v>0.7</v>
      </c>
      <c r="M9" t="s">
        <v>39</v>
      </c>
    </row>
    <row r="10" spans="1:13">
      <c r="A10" s="6" t="s">
        <v>11</v>
      </c>
      <c r="B10" s="7" t="s">
        <v>40</v>
      </c>
      <c r="C10" s="7" t="s">
        <v>41</v>
      </c>
      <c r="D10" s="7" t="s">
        <v>42</v>
      </c>
      <c r="E10" s="8" t="s">
        <v>40</v>
      </c>
      <c r="F10" s="9">
        <v>55</v>
      </c>
      <c r="G10" s="9">
        <v>21</v>
      </c>
      <c r="H10" s="9">
        <v>20</v>
      </c>
      <c r="I10" s="9">
        <v>2</v>
      </c>
      <c r="J10" s="29">
        <v>0.36363636363636365</v>
      </c>
      <c r="K10" s="10">
        <f t="shared" si="0"/>
        <v>0.38181818181818183</v>
      </c>
      <c r="M10" t="s">
        <v>39</v>
      </c>
    </row>
    <row r="11" spans="1:13">
      <c r="A11" s="6" t="s">
        <v>11</v>
      </c>
      <c r="B11" s="7" t="s">
        <v>46</v>
      </c>
      <c r="C11" s="7" t="s">
        <v>47</v>
      </c>
      <c r="D11" s="7" t="s">
        <v>48</v>
      </c>
      <c r="E11" s="8" t="s">
        <v>46</v>
      </c>
      <c r="F11" s="9">
        <v>50</v>
      </c>
      <c r="G11" s="9">
        <v>23</v>
      </c>
      <c r="H11" s="9">
        <v>18</v>
      </c>
      <c r="I11" s="9">
        <v>1</v>
      </c>
      <c r="J11" s="29">
        <v>0.36</v>
      </c>
      <c r="K11" s="10">
        <f t="shared" si="0"/>
        <v>0.46</v>
      </c>
      <c r="M11" t="s">
        <v>49</v>
      </c>
    </row>
    <row r="12" spans="1:13">
      <c r="A12" s="6" t="s">
        <v>11</v>
      </c>
      <c r="B12" s="7" t="s">
        <v>50</v>
      </c>
      <c r="C12" s="7" t="s">
        <v>51</v>
      </c>
      <c r="D12" s="7" t="s">
        <v>52</v>
      </c>
      <c r="E12" s="8" t="s">
        <v>50</v>
      </c>
      <c r="F12" s="9">
        <v>60</v>
      </c>
      <c r="G12" s="9">
        <v>54</v>
      </c>
      <c r="H12" s="9">
        <v>47</v>
      </c>
      <c r="I12" s="9">
        <v>0</v>
      </c>
      <c r="J12" s="29">
        <v>0.78333333333333333</v>
      </c>
      <c r="K12" s="10">
        <f t="shared" si="0"/>
        <v>0.9</v>
      </c>
      <c r="M12" t="s">
        <v>18</v>
      </c>
    </row>
    <row r="13" spans="1:13">
      <c r="A13" s="6" t="s">
        <v>11</v>
      </c>
      <c r="B13" s="7" t="s">
        <v>53</v>
      </c>
      <c r="C13" s="7" t="s">
        <v>54</v>
      </c>
      <c r="D13" s="7" t="s">
        <v>55</v>
      </c>
      <c r="E13" s="8" t="s">
        <v>53</v>
      </c>
      <c r="F13" s="9">
        <v>57</v>
      </c>
      <c r="G13" s="9">
        <v>35</v>
      </c>
      <c r="H13" s="9">
        <v>49</v>
      </c>
      <c r="I13" s="9">
        <v>0</v>
      </c>
      <c r="J13" s="29">
        <v>0.85964912280701755</v>
      </c>
      <c r="K13" s="10">
        <f t="shared" si="0"/>
        <v>0.61403508771929827</v>
      </c>
      <c r="M13" t="s">
        <v>32</v>
      </c>
    </row>
    <row r="14" spans="1:13">
      <c r="A14" s="6" t="s">
        <v>11</v>
      </c>
      <c r="B14" s="7" t="s">
        <v>56</v>
      </c>
      <c r="C14" s="7" t="s">
        <v>57</v>
      </c>
      <c r="D14" s="7" t="s">
        <v>58</v>
      </c>
      <c r="E14" s="8" t="s">
        <v>56</v>
      </c>
      <c r="F14" s="9">
        <v>53</v>
      </c>
      <c r="G14" s="9">
        <v>39</v>
      </c>
      <c r="H14" s="9">
        <v>10</v>
      </c>
      <c r="I14" s="9">
        <v>0</v>
      </c>
      <c r="J14" s="29">
        <v>0.18867924528301888</v>
      </c>
      <c r="K14" s="10">
        <f t="shared" si="0"/>
        <v>0.73584905660377353</v>
      </c>
      <c r="M14" t="s">
        <v>59</v>
      </c>
    </row>
    <row r="15" spans="1:13">
      <c r="A15" s="6" t="s">
        <v>11</v>
      </c>
      <c r="B15" s="7" t="s">
        <v>60</v>
      </c>
      <c r="C15" s="7" t="s">
        <v>61</v>
      </c>
      <c r="D15" s="7" t="s">
        <v>62</v>
      </c>
      <c r="E15" s="8" t="s">
        <v>60</v>
      </c>
      <c r="F15" s="9">
        <v>54</v>
      </c>
      <c r="G15" s="9">
        <v>11</v>
      </c>
      <c r="H15" s="9">
        <v>0</v>
      </c>
      <c r="I15" s="9">
        <v>9</v>
      </c>
      <c r="J15" s="29">
        <v>0</v>
      </c>
      <c r="K15" s="10">
        <f t="shared" si="0"/>
        <v>0.20370370370370369</v>
      </c>
      <c r="M15" t="s">
        <v>63</v>
      </c>
    </row>
    <row r="16" spans="1:13">
      <c r="A16" s="6" t="s">
        <v>11</v>
      </c>
      <c r="B16" s="7" t="s">
        <v>64</v>
      </c>
      <c r="C16" s="7" t="s">
        <v>65</v>
      </c>
      <c r="D16" s="7" t="s">
        <v>45</v>
      </c>
      <c r="E16" s="8" t="s">
        <v>64</v>
      </c>
      <c r="F16" s="9">
        <v>50</v>
      </c>
      <c r="G16" s="9">
        <v>50</v>
      </c>
      <c r="H16" s="9">
        <v>23</v>
      </c>
      <c r="I16" s="9">
        <v>7</v>
      </c>
      <c r="J16" s="29">
        <v>0.46</v>
      </c>
      <c r="K16" s="10">
        <f t="shared" si="0"/>
        <v>1</v>
      </c>
      <c r="M16" t="s">
        <v>18</v>
      </c>
    </row>
    <row r="17" spans="1:13">
      <c r="A17" s="6" t="s">
        <v>11</v>
      </c>
      <c r="B17" s="7" t="s">
        <v>66</v>
      </c>
      <c r="C17" s="7" t="s">
        <v>67</v>
      </c>
      <c r="D17" s="7" t="s">
        <v>68</v>
      </c>
      <c r="E17" s="8" t="s">
        <v>66</v>
      </c>
      <c r="F17" s="9">
        <v>57</v>
      </c>
      <c r="G17" s="9">
        <v>3</v>
      </c>
      <c r="H17" s="9">
        <v>0</v>
      </c>
      <c r="I17" s="9">
        <v>4</v>
      </c>
      <c r="J17" s="14">
        <v>0</v>
      </c>
      <c r="K17" s="9">
        <f t="shared" si="0"/>
        <v>5.2631578947368418E-2</v>
      </c>
      <c r="M17" t="s">
        <v>63</v>
      </c>
    </row>
    <row r="18" spans="1:13">
      <c r="A18" s="6" t="s">
        <v>11</v>
      </c>
      <c r="B18" s="7" t="s">
        <v>69</v>
      </c>
      <c r="C18" s="7" t="s">
        <v>70</v>
      </c>
      <c r="D18" s="7" t="s">
        <v>71</v>
      </c>
      <c r="E18" s="8" t="s">
        <v>69</v>
      </c>
      <c r="F18" s="9">
        <v>50</v>
      </c>
      <c r="G18" s="9">
        <v>19</v>
      </c>
      <c r="H18" s="9">
        <v>17</v>
      </c>
      <c r="I18" s="9">
        <v>25</v>
      </c>
      <c r="J18" s="14">
        <v>0.34</v>
      </c>
      <c r="K18" s="9">
        <f t="shared" si="0"/>
        <v>0.38</v>
      </c>
      <c r="L18" t="s">
        <v>201</v>
      </c>
      <c r="M18" t="s">
        <v>18</v>
      </c>
    </row>
    <row r="19" spans="1:13">
      <c r="A19" s="6" t="s">
        <v>11</v>
      </c>
      <c r="B19" s="7" t="s">
        <v>72</v>
      </c>
      <c r="C19" s="7" t="s">
        <v>73</v>
      </c>
      <c r="D19" s="7" t="s">
        <v>74</v>
      </c>
      <c r="E19" s="8" t="s">
        <v>72</v>
      </c>
      <c r="F19" s="9">
        <v>66</v>
      </c>
      <c r="G19" s="9">
        <v>17</v>
      </c>
      <c r="H19" s="9">
        <v>14</v>
      </c>
      <c r="I19" s="9">
        <v>7</v>
      </c>
      <c r="J19" s="14">
        <v>0.21212121212121213</v>
      </c>
      <c r="K19" s="9">
        <f t="shared" si="0"/>
        <v>0.25757575757575757</v>
      </c>
      <c r="M19" t="s">
        <v>18</v>
      </c>
    </row>
    <row r="20" spans="1:13">
      <c r="A20" s="6" t="s">
        <v>11</v>
      </c>
      <c r="B20" s="7" t="s">
        <v>78</v>
      </c>
      <c r="C20" s="7" t="s">
        <v>79</v>
      </c>
      <c r="D20" s="7" t="s">
        <v>80</v>
      </c>
      <c r="E20" s="8" t="s">
        <v>78</v>
      </c>
      <c r="F20" s="9">
        <v>52</v>
      </c>
      <c r="G20" s="9">
        <v>14</v>
      </c>
      <c r="H20" s="9">
        <v>6</v>
      </c>
      <c r="I20" s="9">
        <v>9</v>
      </c>
      <c r="J20" s="14">
        <v>0.11538461538461539</v>
      </c>
      <c r="K20" s="9">
        <f>G20/F20</f>
        <v>0.26923076923076922</v>
      </c>
      <c r="M20" t="s">
        <v>49</v>
      </c>
    </row>
    <row r="21" spans="1:13">
      <c r="A21" s="6" t="s">
        <v>11</v>
      </c>
      <c r="B21" s="7" t="s">
        <v>81</v>
      </c>
      <c r="C21" s="7" t="s">
        <v>82</v>
      </c>
      <c r="D21" s="7" t="s">
        <v>83</v>
      </c>
      <c r="E21" s="8" t="s">
        <v>81</v>
      </c>
      <c r="F21" s="9">
        <v>53</v>
      </c>
      <c r="G21" s="9">
        <v>20</v>
      </c>
      <c r="H21" s="9">
        <v>19</v>
      </c>
      <c r="I21" s="9">
        <v>1</v>
      </c>
      <c r="J21" s="14">
        <v>0.35849056603773582</v>
      </c>
      <c r="K21" s="9">
        <f>G21/F21</f>
        <v>0.37735849056603776</v>
      </c>
      <c r="M21" t="s">
        <v>18</v>
      </c>
    </row>
    <row r="22" spans="1:13">
      <c r="A22" s="6" t="s">
        <v>11</v>
      </c>
      <c r="B22" s="7" t="s">
        <v>87</v>
      </c>
      <c r="C22" s="7" t="s">
        <v>88</v>
      </c>
      <c r="D22" s="7" t="s">
        <v>89</v>
      </c>
      <c r="E22" s="8" t="s">
        <v>87</v>
      </c>
      <c r="F22" s="9">
        <v>50</v>
      </c>
      <c r="G22" s="9">
        <v>50</v>
      </c>
      <c r="H22" s="9">
        <v>36</v>
      </c>
      <c r="I22" s="9">
        <v>0</v>
      </c>
      <c r="J22" s="14">
        <v>0.72</v>
      </c>
      <c r="K22" s="9">
        <f t="shared" ref="K22:K55" si="1">G22/F22</f>
        <v>1</v>
      </c>
      <c r="M22" t="s">
        <v>18</v>
      </c>
    </row>
    <row r="23" spans="1:13">
      <c r="A23" s="6" t="s">
        <v>11</v>
      </c>
      <c r="B23" s="7" t="s">
        <v>90</v>
      </c>
      <c r="C23" s="7" t="s">
        <v>91</v>
      </c>
      <c r="D23" s="7" t="s">
        <v>92</v>
      </c>
      <c r="E23" s="8" t="s">
        <v>90</v>
      </c>
      <c r="F23" s="9">
        <v>52</v>
      </c>
      <c r="G23" s="9">
        <v>28</v>
      </c>
      <c r="H23" s="9">
        <v>0</v>
      </c>
      <c r="I23" s="9">
        <v>16</v>
      </c>
      <c r="J23" s="14">
        <v>0</v>
      </c>
      <c r="K23" s="9">
        <f t="shared" si="1"/>
        <v>0.53846153846153844</v>
      </c>
      <c r="L23" t="s">
        <v>202</v>
      </c>
      <c r="M23" t="s">
        <v>39</v>
      </c>
    </row>
    <row r="24" spans="1:13">
      <c r="A24" s="6" t="s">
        <v>11</v>
      </c>
      <c r="B24" s="7" t="s">
        <v>93</v>
      </c>
      <c r="C24" s="7" t="s">
        <v>94</v>
      </c>
      <c r="D24" s="7" t="s">
        <v>95</v>
      </c>
      <c r="E24" s="8" t="s">
        <v>93</v>
      </c>
      <c r="F24" s="9">
        <v>55</v>
      </c>
      <c r="G24" s="9">
        <v>32</v>
      </c>
      <c r="H24" s="9">
        <v>14</v>
      </c>
      <c r="I24" s="9">
        <v>1</v>
      </c>
      <c r="J24" s="14">
        <v>0.25454545454545452</v>
      </c>
      <c r="K24" s="9">
        <f t="shared" si="1"/>
        <v>0.58181818181818179</v>
      </c>
      <c r="M24" t="s">
        <v>59</v>
      </c>
    </row>
    <row r="25" spans="1:13">
      <c r="A25" s="6" t="s">
        <v>11</v>
      </c>
      <c r="B25" s="7" t="s">
        <v>96</v>
      </c>
      <c r="C25" s="7" t="s">
        <v>97</v>
      </c>
      <c r="D25" s="7" t="s">
        <v>98</v>
      </c>
      <c r="E25" s="8" t="s">
        <v>96</v>
      </c>
      <c r="F25" s="9">
        <v>55</v>
      </c>
      <c r="G25" s="9">
        <v>8</v>
      </c>
      <c r="H25" s="9">
        <v>7</v>
      </c>
      <c r="I25" s="9">
        <v>0</v>
      </c>
      <c r="J25" s="14">
        <v>0.12727272727272726</v>
      </c>
      <c r="K25" s="9">
        <f t="shared" si="1"/>
        <v>0.14545454545454545</v>
      </c>
      <c r="L25" t="s">
        <v>203</v>
      </c>
      <c r="M25" t="s">
        <v>18</v>
      </c>
    </row>
    <row r="26" spans="1:13">
      <c r="A26" s="6" t="s">
        <v>11</v>
      </c>
      <c r="B26" s="7" t="s">
        <v>99</v>
      </c>
      <c r="C26" s="7" t="s">
        <v>100</v>
      </c>
      <c r="D26" s="7" t="s">
        <v>101</v>
      </c>
      <c r="E26" s="8" t="s">
        <v>99</v>
      </c>
      <c r="F26" s="9">
        <v>53</v>
      </c>
      <c r="G26" s="9">
        <v>44</v>
      </c>
      <c r="H26" s="9">
        <v>21</v>
      </c>
      <c r="I26" s="9">
        <v>0</v>
      </c>
      <c r="J26" s="14">
        <v>0.39622641509433965</v>
      </c>
      <c r="K26" s="9">
        <f t="shared" si="1"/>
        <v>0.83018867924528306</v>
      </c>
      <c r="M26" t="s">
        <v>18</v>
      </c>
    </row>
    <row r="27" spans="1:13">
      <c r="A27" s="6" t="s">
        <v>11</v>
      </c>
      <c r="B27" s="7" t="s">
        <v>102</v>
      </c>
      <c r="C27" s="7" t="s">
        <v>103</v>
      </c>
      <c r="D27" s="7" t="s">
        <v>77</v>
      </c>
      <c r="E27" s="8" t="s">
        <v>102</v>
      </c>
      <c r="F27" s="9">
        <v>66</v>
      </c>
      <c r="G27" s="9">
        <v>6</v>
      </c>
      <c r="H27" s="9">
        <v>6</v>
      </c>
      <c r="I27" s="9">
        <v>11</v>
      </c>
      <c r="J27" s="14">
        <v>9.0909090909090912E-2</v>
      </c>
      <c r="K27" s="9">
        <f t="shared" si="1"/>
        <v>9.0909090909090912E-2</v>
      </c>
      <c r="M27" t="s">
        <v>59</v>
      </c>
    </row>
    <row r="28" spans="1:13">
      <c r="A28" s="6"/>
      <c r="B28" s="7" t="s">
        <v>107</v>
      </c>
      <c r="C28" s="7" t="s">
        <v>134</v>
      </c>
      <c r="D28" s="7" t="s">
        <v>135</v>
      </c>
      <c r="E28" s="8" t="s">
        <v>107</v>
      </c>
      <c r="F28" s="9">
        <v>61</v>
      </c>
      <c r="G28" s="9">
        <v>9</v>
      </c>
      <c r="H28" s="9">
        <v>0</v>
      </c>
      <c r="I28" s="9">
        <v>5</v>
      </c>
      <c r="J28" s="14">
        <v>0</v>
      </c>
      <c r="K28" s="9">
        <f t="shared" si="1"/>
        <v>0.14754098360655737</v>
      </c>
      <c r="M28" t="s">
        <v>136</v>
      </c>
    </row>
    <row r="29" spans="1:13">
      <c r="A29" s="6" t="s">
        <v>11</v>
      </c>
      <c r="B29" s="7" t="s">
        <v>108</v>
      </c>
      <c r="C29" s="7" t="s">
        <v>109</v>
      </c>
      <c r="D29" s="7" t="s">
        <v>110</v>
      </c>
      <c r="E29" s="8" t="s">
        <v>108</v>
      </c>
      <c r="F29" s="9">
        <v>51</v>
      </c>
      <c r="G29" s="9">
        <v>26</v>
      </c>
      <c r="H29" s="9">
        <v>30</v>
      </c>
      <c r="I29" s="9">
        <v>2</v>
      </c>
      <c r="J29" s="14">
        <v>0.58823529411764708</v>
      </c>
      <c r="K29" s="9">
        <f t="shared" si="1"/>
        <v>0.50980392156862742</v>
      </c>
      <c r="M29" t="s">
        <v>49</v>
      </c>
    </row>
    <row r="30" spans="1:13">
      <c r="A30" s="6" t="s">
        <v>11</v>
      </c>
      <c r="B30" s="7" t="s">
        <v>111</v>
      </c>
      <c r="C30" s="7" t="s">
        <v>112</v>
      </c>
      <c r="D30" s="7" t="s">
        <v>113</v>
      </c>
      <c r="E30" s="8" t="s">
        <v>111</v>
      </c>
      <c r="F30" s="9">
        <v>63</v>
      </c>
      <c r="G30" s="9">
        <v>55</v>
      </c>
      <c r="H30" s="9">
        <v>22</v>
      </c>
      <c r="I30" s="9">
        <v>0</v>
      </c>
      <c r="J30" s="14">
        <v>0.34920634920634919</v>
      </c>
      <c r="K30" s="9">
        <f t="shared" si="1"/>
        <v>0.87301587301587302</v>
      </c>
      <c r="M30" t="s">
        <v>18</v>
      </c>
    </row>
    <row r="31" spans="1:13">
      <c r="A31" s="6" t="s">
        <v>11</v>
      </c>
      <c r="B31" s="7" t="s">
        <v>114</v>
      </c>
      <c r="C31" s="7" t="s">
        <v>115</v>
      </c>
      <c r="D31" s="7" t="s">
        <v>116</v>
      </c>
      <c r="E31" s="8" t="s">
        <v>114</v>
      </c>
      <c r="F31" s="9">
        <v>75</v>
      </c>
      <c r="G31" s="9">
        <v>41</v>
      </c>
      <c r="H31" s="9">
        <v>28</v>
      </c>
      <c r="I31" s="9">
        <v>0</v>
      </c>
      <c r="J31" s="14">
        <v>0.37333333333333335</v>
      </c>
      <c r="K31" s="9">
        <f t="shared" si="1"/>
        <v>0.54666666666666663</v>
      </c>
      <c r="M31" t="s">
        <v>18</v>
      </c>
    </row>
    <row r="32" spans="1:13">
      <c r="A32" s="6" t="s">
        <v>11</v>
      </c>
      <c r="B32" s="7" t="s">
        <v>117</v>
      </c>
      <c r="C32" s="7" t="s">
        <v>118</v>
      </c>
      <c r="D32" s="7" t="s">
        <v>119</v>
      </c>
      <c r="E32" s="8" t="s">
        <v>117</v>
      </c>
      <c r="F32" s="9">
        <v>63</v>
      </c>
      <c r="G32" s="9">
        <v>56</v>
      </c>
      <c r="H32" s="9">
        <v>29</v>
      </c>
      <c r="I32" s="9">
        <v>0</v>
      </c>
      <c r="J32" s="14">
        <v>0.46031746031746029</v>
      </c>
      <c r="K32" s="9">
        <f t="shared" si="1"/>
        <v>0.88888888888888884</v>
      </c>
      <c r="M32" t="s">
        <v>39</v>
      </c>
    </row>
    <row r="33" spans="1:13">
      <c r="A33" s="6" t="s">
        <v>11</v>
      </c>
      <c r="B33" s="7" t="s">
        <v>120</v>
      </c>
      <c r="C33" s="7" t="s">
        <v>121</v>
      </c>
      <c r="D33" s="7" t="s">
        <v>122</v>
      </c>
      <c r="E33" s="8" t="s">
        <v>120</v>
      </c>
      <c r="F33" s="9">
        <v>58</v>
      </c>
      <c r="G33" s="9">
        <v>15</v>
      </c>
      <c r="H33" s="9">
        <v>0</v>
      </c>
      <c r="I33" s="9">
        <v>14</v>
      </c>
      <c r="J33" s="14">
        <v>0</v>
      </c>
      <c r="K33" s="9">
        <f t="shared" si="1"/>
        <v>0.25862068965517243</v>
      </c>
      <c r="M33" t="s">
        <v>59</v>
      </c>
    </row>
    <row r="34" spans="1:13">
      <c r="A34" s="6" t="s">
        <v>11</v>
      </c>
      <c r="B34" s="7" t="s">
        <v>123</v>
      </c>
      <c r="C34" s="7" t="s">
        <v>124</v>
      </c>
      <c r="D34" s="7" t="s">
        <v>125</v>
      </c>
      <c r="E34" s="8" t="s">
        <v>123</v>
      </c>
      <c r="F34" s="9">
        <v>59</v>
      </c>
      <c r="G34" s="9">
        <v>56</v>
      </c>
      <c r="H34" s="9">
        <v>24</v>
      </c>
      <c r="I34" s="9">
        <v>0</v>
      </c>
      <c r="J34" s="14">
        <v>0.40677966101694918</v>
      </c>
      <c r="K34" s="9">
        <f t="shared" si="1"/>
        <v>0.94915254237288138</v>
      </c>
      <c r="M34" t="s">
        <v>18</v>
      </c>
    </row>
    <row r="35" spans="1:13">
      <c r="A35" s="6" t="s">
        <v>11</v>
      </c>
      <c r="B35" s="7" t="s">
        <v>126</v>
      </c>
      <c r="C35" s="7" t="s">
        <v>127</v>
      </c>
      <c r="D35" s="7" t="s">
        <v>128</v>
      </c>
      <c r="E35" s="8" t="s">
        <v>126</v>
      </c>
      <c r="F35" s="9">
        <v>52</v>
      </c>
      <c r="G35" s="9">
        <v>16</v>
      </c>
      <c r="H35" s="9">
        <v>15</v>
      </c>
      <c r="I35" s="9">
        <v>20</v>
      </c>
      <c r="J35" s="14">
        <v>0.28846153846153844</v>
      </c>
      <c r="K35" s="9">
        <f t="shared" si="1"/>
        <v>0.30769230769230771</v>
      </c>
      <c r="M35" t="s">
        <v>18</v>
      </c>
    </row>
    <row r="36" spans="1:13">
      <c r="A36" s="6" t="s">
        <v>11</v>
      </c>
      <c r="B36" s="7" t="s">
        <v>129</v>
      </c>
      <c r="C36" s="7" t="s">
        <v>130</v>
      </c>
      <c r="D36" s="7" t="s">
        <v>131</v>
      </c>
      <c r="E36" s="8" t="s">
        <v>129</v>
      </c>
      <c r="F36" s="9">
        <v>66</v>
      </c>
      <c r="G36" s="9">
        <v>54</v>
      </c>
      <c r="H36" s="9">
        <v>28</v>
      </c>
      <c r="I36" s="9">
        <v>0</v>
      </c>
      <c r="J36" s="14">
        <v>0.42424242424242425</v>
      </c>
      <c r="K36" s="9">
        <f t="shared" si="1"/>
        <v>0.81818181818181823</v>
      </c>
      <c r="M36" t="s">
        <v>18</v>
      </c>
    </row>
    <row r="37" spans="1:13">
      <c r="A37" s="6"/>
      <c r="B37" s="7" t="s">
        <v>104</v>
      </c>
      <c r="C37" s="7" t="s">
        <v>105</v>
      </c>
      <c r="D37" s="7" t="s">
        <v>106</v>
      </c>
      <c r="E37" s="8" t="s">
        <v>104</v>
      </c>
      <c r="F37" s="9">
        <v>51</v>
      </c>
      <c r="G37" s="9">
        <v>25</v>
      </c>
      <c r="H37" s="9">
        <v>12</v>
      </c>
      <c r="I37" s="9">
        <v>0</v>
      </c>
      <c r="J37" s="14">
        <v>0.23529411764705882</v>
      </c>
      <c r="K37" s="9">
        <f t="shared" si="1"/>
        <v>0.49019607843137253</v>
      </c>
      <c r="M37" t="s">
        <v>18</v>
      </c>
    </row>
    <row r="38" spans="1:13">
      <c r="A38" s="6" t="s">
        <v>11</v>
      </c>
      <c r="B38" s="7" t="s">
        <v>137</v>
      </c>
      <c r="C38" s="7" t="s">
        <v>138</v>
      </c>
      <c r="D38" s="7" t="s">
        <v>139</v>
      </c>
      <c r="E38" s="8" t="s">
        <v>137</v>
      </c>
      <c r="F38" s="9">
        <v>61</v>
      </c>
      <c r="G38" s="9">
        <v>59</v>
      </c>
      <c r="H38" s="9">
        <v>30</v>
      </c>
      <c r="I38" s="9">
        <v>0</v>
      </c>
      <c r="J38" s="14">
        <v>0.49180327868852458</v>
      </c>
      <c r="K38" s="9">
        <f t="shared" si="1"/>
        <v>0.96721311475409832</v>
      </c>
      <c r="M38" t="s">
        <v>18</v>
      </c>
    </row>
    <row r="39" spans="1:13">
      <c r="A39" s="6" t="s">
        <v>11</v>
      </c>
      <c r="B39" s="7" t="s">
        <v>140</v>
      </c>
      <c r="C39" s="7" t="s">
        <v>141</v>
      </c>
      <c r="D39" s="7" t="s">
        <v>142</v>
      </c>
      <c r="E39" s="8" t="s">
        <v>140</v>
      </c>
      <c r="F39" s="9">
        <v>55</v>
      </c>
      <c r="G39" s="9">
        <v>9</v>
      </c>
      <c r="H39" s="9">
        <v>0</v>
      </c>
      <c r="I39" s="9">
        <v>15</v>
      </c>
      <c r="J39" s="14">
        <v>0</v>
      </c>
      <c r="K39" s="9">
        <f t="shared" si="1"/>
        <v>0.16363636363636364</v>
      </c>
      <c r="L39" t="s">
        <v>204</v>
      </c>
      <c r="M39" t="s">
        <v>49</v>
      </c>
    </row>
    <row r="40" spans="1:13">
      <c r="A40" s="6" t="s">
        <v>11</v>
      </c>
      <c r="B40" s="7" t="s">
        <v>143</v>
      </c>
      <c r="C40" s="7" t="s">
        <v>144</v>
      </c>
      <c r="D40" s="7" t="s">
        <v>145</v>
      </c>
      <c r="E40" s="8" t="s">
        <v>143</v>
      </c>
      <c r="F40" s="9">
        <v>56</v>
      </c>
      <c r="G40" s="9">
        <v>33</v>
      </c>
      <c r="H40" s="9">
        <v>15</v>
      </c>
      <c r="I40" s="9">
        <v>0</v>
      </c>
      <c r="J40" s="14">
        <v>0.26785714285714285</v>
      </c>
      <c r="K40" s="9">
        <f t="shared" si="1"/>
        <v>0.5892857142857143</v>
      </c>
      <c r="M40" t="s">
        <v>18</v>
      </c>
    </row>
    <row r="41" spans="1:13">
      <c r="A41" s="6" t="s">
        <v>11</v>
      </c>
      <c r="B41" s="7" t="s">
        <v>149</v>
      </c>
      <c r="C41" s="7" t="s">
        <v>150</v>
      </c>
      <c r="D41" s="7" t="s">
        <v>151</v>
      </c>
      <c r="E41" s="8" t="s">
        <v>149</v>
      </c>
      <c r="F41" s="9">
        <v>58</v>
      </c>
      <c r="G41" s="9">
        <v>0</v>
      </c>
      <c r="H41" s="9">
        <v>0</v>
      </c>
      <c r="I41" s="9">
        <v>5</v>
      </c>
      <c r="J41" s="14">
        <v>0</v>
      </c>
      <c r="K41" s="9">
        <f t="shared" si="1"/>
        <v>0</v>
      </c>
      <c r="M41" t="s">
        <v>63</v>
      </c>
    </row>
    <row r="42" spans="1:13">
      <c r="A42" s="6" t="s">
        <v>11</v>
      </c>
      <c r="B42" s="7" t="s">
        <v>152</v>
      </c>
      <c r="C42" s="7" t="s">
        <v>153</v>
      </c>
      <c r="D42" s="7" t="s">
        <v>154</v>
      </c>
      <c r="E42" s="8" t="s">
        <v>152</v>
      </c>
      <c r="F42" s="9">
        <v>55</v>
      </c>
      <c r="G42" s="9">
        <v>51</v>
      </c>
      <c r="H42" s="9">
        <v>34</v>
      </c>
      <c r="I42" s="9">
        <v>0</v>
      </c>
      <c r="J42" s="14">
        <v>0.61818181818181817</v>
      </c>
      <c r="K42" s="9">
        <f t="shared" si="1"/>
        <v>0.92727272727272725</v>
      </c>
      <c r="M42" t="s">
        <v>18</v>
      </c>
    </row>
    <row r="43" spans="1:13">
      <c r="A43" s="6" t="s">
        <v>11</v>
      </c>
      <c r="B43" s="7" t="s">
        <v>155</v>
      </c>
      <c r="C43" s="7" t="s">
        <v>156</v>
      </c>
      <c r="D43" s="7" t="s">
        <v>157</v>
      </c>
      <c r="E43" s="8" t="s">
        <v>155</v>
      </c>
      <c r="F43" s="9">
        <v>51</v>
      </c>
      <c r="G43" s="9">
        <v>8</v>
      </c>
      <c r="H43" s="9">
        <v>5</v>
      </c>
      <c r="I43" s="9">
        <v>7</v>
      </c>
      <c r="J43" s="14">
        <v>9.8039215686274508E-2</v>
      </c>
      <c r="K43" s="9">
        <f t="shared" si="1"/>
        <v>0.15686274509803921</v>
      </c>
      <c r="M43" t="s">
        <v>18</v>
      </c>
    </row>
    <row r="44" spans="1:13">
      <c r="A44" s="6" t="s">
        <v>11</v>
      </c>
      <c r="B44" s="7" t="s">
        <v>158</v>
      </c>
      <c r="C44" s="7" t="s">
        <v>159</v>
      </c>
      <c r="D44" s="7" t="s">
        <v>160</v>
      </c>
      <c r="E44" s="8" t="s">
        <v>158</v>
      </c>
      <c r="F44" s="9">
        <v>51</v>
      </c>
      <c r="G44" s="9">
        <v>51</v>
      </c>
      <c r="H44" s="9">
        <v>17</v>
      </c>
      <c r="I44" s="9">
        <v>0</v>
      </c>
      <c r="J44" s="14">
        <v>0.33333333333333331</v>
      </c>
      <c r="K44" s="9">
        <f t="shared" si="1"/>
        <v>1</v>
      </c>
      <c r="M44" t="s">
        <v>18</v>
      </c>
    </row>
    <row r="45" spans="1:13">
      <c r="A45" s="6"/>
      <c r="B45" s="7" t="s">
        <v>162</v>
      </c>
      <c r="C45" s="7" t="s">
        <v>163</v>
      </c>
      <c r="D45" s="7" t="s">
        <v>164</v>
      </c>
      <c r="E45" s="8" t="s">
        <v>162</v>
      </c>
      <c r="F45" s="9">
        <v>51</v>
      </c>
      <c r="G45" s="9">
        <v>10</v>
      </c>
      <c r="H45" s="9">
        <v>0</v>
      </c>
      <c r="I45" s="9">
        <v>0</v>
      </c>
      <c r="J45" s="14">
        <v>0</v>
      </c>
      <c r="K45" s="9">
        <f t="shared" si="1"/>
        <v>0.19607843137254902</v>
      </c>
      <c r="M45" t="s">
        <v>39</v>
      </c>
    </row>
    <row r="46" spans="1:13">
      <c r="A46" s="6" t="s">
        <v>11</v>
      </c>
      <c r="B46" s="7" t="s">
        <v>165</v>
      </c>
      <c r="C46" s="7" t="s">
        <v>166</v>
      </c>
      <c r="D46" s="7" t="s">
        <v>167</v>
      </c>
      <c r="E46" s="8" t="s">
        <v>165</v>
      </c>
      <c r="F46" s="9">
        <v>61</v>
      </c>
      <c r="G46" s="9">
        <v>42</v>
      </c>
      <c r="H46" s="9">
        <v>31</v>
      </c>
      <c r="I46" s="9">
        <v>0</v>
      </c>
      <c r="J46" s="14">
        <v>0.50819672131147542</v>
      </c>
      <c r="K46" s="9">
        <f t="shared" si="1"/>
        <v>0.68852459016393441</v>
      </c>
      <c r="M46" t="s">
        <v>39</v>
      </c>
    </row>
    <row r="47" spans="1:13">
      <c r="A47" s="6" t="s">
        <v>11</v>
      </c>
      <c r="B47" s="7" t="s">
        <v>168</v>
      </c>
      <c r="C47" s="7" t="s">
        <v>169</v>
      </c>
      <c r="D47" s="7" t="s">
        <v>170</v>
      </c>
      <c r="E47" s="8" t="s">
        <v>168</v>
      </c>
      <c r="F47" s="9">
        <v>59</v>
      </c>
      <c r="G47" s="9">
        <v>52</v>
      </c>
      <c r="H47" s="9">
        <v>40</v>
      </c>
      <c r="I47" s="9">
        <v>0</v>
      </c>
      <c r="J47" s="14">
        <v>0.67796610169491522</v>
      </c>
      <c r="K47" s="9">
        <f t="shared" si="1"/>
        <v>0.88135593220338981</v>
      </c>
      <c r="M47" t="s">
        <v>18</v>
      </c>
    </row>
    <row r="48" spans="1:13">
      <c r="A48" s="6" t="s">
        <v>11</v>
      </c>
      <c r="B48" s="7" t="s">
        <v>171</v>
      </c>
      <c r="C48" s="7" t="s">
        <v>172</v>
      </c>
      <c r="D48" s="7" t="s">
        <v>173</v>
      </c>
      <c r="E48" s="8" t="s">
        <v>171</v>
      </c>
      <c r="F48" s="9">
        <v>63</v>
      </c>
      <c r="G48" s="9">
        <v>52</v>
      </c>
      <c r="H48" s="9">
        <v>35</v>
      </c>
      <c r="I48" s="9">
        <v>0</v>
      </c>
      <c r="J48" s="14">
        <v>0.55555555555555558</v>
      </c>
      <c r="K48" s="9">
        <f t="shared" si="1"/>
        <v>0.82539682539682535</v>
      </c>
      <c r="M48" t="s">
        <v>39</v>
      </c>
    </row>
    <row r="49" spans="1:13">
      <c r="A49" s="6" t="s">
        <v>11</v>
      </c>
      <c r="B49" s="7" t="s">
        <v>174</v>
      </c>
      <c r="C49" s="7" t="s">
        <v>175</v>
      </c>
      <c r="D49" s="7" t="s">
        <v>176</v>
      </c>
      <c r="E49" s="8" t="s">
        <v>174</v>
      </c>
      <c r="F49" s="9">
        <v>51</v>
      </c>
      <c r="G49" s="9">
        <v>5</v>
      </c>
      <c r="H49" s="9">
        <v>0</v>
      </c>
      <c r="I49" s="9">
        <v>0</v>
      </c>
      <c r="J49" s="14">
        <v>0</v>
      </c>
      <c r="K49" s="9">
        <f t="shared" si="1"/>
        <v>9.8039215686274508E-2</v>
      </c>
      <c r="M49" t="s">
        <v>28</v>
      </c>
    </row>
    <row r="50" spans="1:13">
      <c r="A50" s="6" t="s">
        <v>11</v>
      </c>
      <c r="B50" s="7" t="s">
        <v>177</v>
      </c>
      <c r="C50" s="7" t="s">
        <v>178</v>
      </c>
      <c r="D50" s="7" t="s">
        <v>179</v>
      </c>
      <c r="E50" s="8" t="s">
        <v>177</v>
      </c>
      <c r="F50" s="9">
        <v>59</v>
      </c>
      <c r="G50" s="9">
        <v>44</v>
      </c>
      <c r="H50" s="9">
        <v>30</v>
      </c>
      <c r="I50" s="9">
        <v>0</v>
      </c>
      <c r="J50" s="14">
        <v>0.50847457627118642</v>
      </c>
      <c r="K50" s="9">
        <f t="shared" si="1"/>
        <v>0.74576271186440679</v>
      </c>
      <c r="M50" t="s">
        <v>39</v>
      </c>
    </row>
    <row r="51" spans="1:13">
      <c r="A51" s="6" t="s">
        <v>11</v>
      </c>
      <c r="B51" s="7" t="s">
        <v>180</v>
      </c>
      <c r="C51" s="7" t="s">
        <v>181</v>
      </c>
      <c r="D51" s="7" t="s">
        <v>182</v>
      </c>
      <c r="E51" s="8" t="s">
        <v>180</v>
      </c>
      <c r="F51" s="9">
        <v>55</v>
      </c>
      <c r="G51" s="9">
        <v>28</v>
      </c>
      <c r="H51" s="9">
        <v>1</v>
      </c>
      <c r="I51" s="9">
        <v>13</v>
      </c>
      <c r="J51" s="14">
        <v>1.8181818181818181E-2</v>
      </c>
      <c r="K51" s="9">
        <f t="shared" si="1"/>
        <v>0.50909090909090904</v>
      </c>
      <c r="M51" t="s">
        <v>39</v>
      </c>
    </row>
    <row r="52" spans="1:13">
      <c r="A52" s="6" t="s">
        <v>11</v>
      </c>
      <c r="B52" s="7" t="s">
        <v>183</v>
      </c>
      <c r="C52" s="7" t="s">
        <v>184</v>
      </c>
      <c r="D52" s="7" t="s">
        <v>185</v>
      </c>
      <c r="E52" s="8" t="s">
        <v>183</v>
      </c>
      <c r="F52" s="9">
        <v>50</v>
      </c>
      <c r="G52" s="9">
        <v>15</v>
      </c>
      <c r="H52" s="9">
        <v>2</v>
      </c>
      <c r="I52" s="9">
        <v>17</v>
      </c>
      <c r="J52" s="14">
        <v>0.04</v>
      </c>
      <c r="K52" s="9">
        <f t="shared" si="1"/>
        <v>0.3</v>
      </c>
      <c r="M52" t="s">
        <v>39</v>
      </c>
    </row>
    <row r="53" spans="1:13">
      <c r="A53" s="6" t="s">
        <v>11</v>
      </c>
      <c r="B53" s="7" t="s">
        <v>186</v>
      </c>
      <c r="C53" s="7" t="s">
        <v>187</v>
      </c>
      <c r="D53" s="7" t="s">
        <v>188</v>
      </c>
      <c r="E53" s="8" t="s">
        <v>186</v>
      </c>
      <c r="F53" s="9">
        <v>54</v>
      </c>
      <c r="G53" s="9">
        <v>32</v>
      </c>
      <c r="H53" s="9">
        <v>15</v>
      </c>
      <c r="I53" s="9">
        <v>0</v>
      </c>
      <c r="J53" s="14">
        <v>0.27777777777777779</v>
      </c>
      <c r="K53" s="9">
        <f t="shared" si="1"/>
        <v>0.59259259259259256</v>
      </c>
      <c r="M53" t="s">
        <v>18</v>
      </c>
    </row>
    <row r="54" spans="1:13">
      <c r="A54" s="6"/>
      <c r="B54" s="7" t="s">
        <v>189</v>
      </c>
      <c r="C54" s="7" t="s">
        <v>190</v>
      </c>
      <c r="D54" s="7" t="s">
        <v>86</v>
      </c>
      <c r="E54" s="8" t="s">
        <v>189</v>
      </c>
      <c r="F54" s="9">
        <v>29</v>
      </c>
      <c r="G54" s="9">
        <v>26</v>
      </c>
      <c r="H54" s="9">
        <v>8</v>
      </c>
      <c r="I54" s="9">
        <v>0</v>
      </c>
      <c r="J54" s="14">
        <v>0.27586206896551724</v>
      </c>
      <c r="K54" s="9">
        <f t="shared" si="1"/>
        <v>0.89655172413793105</v>
      </c>
      <c r="M54" t="s">
        <v>32</v>
      </c>
    </row>
    <row r="55" spans="1:13" ht="17" thickBot="1">
      <c r="A55" s="24"/>
      <c r="B55" s="25" t="s">
        <v>191</v>
      </c>
      <c r="C55" s="25" t="s">
        <v>192</v>
      </c>
      <c r="D55" s="25" t="s">
        <v>193</v>
      </c>
      <c r="E55" s="26" t="s">
        <v>191</v>
      </c>
      <c r="F55" s="27">
        <v>60</v>
      </c>
      <c r="G55" s="27">
        <v>60</v>
      </c>
      <c r="H55" s="27">
        <v>28</v>
      </c>
      <c r="I55" s="27">
        <v>0</v>
      </c>
      <c r="J55" s="14">
        <v>0.46666666666666667</v>
      </c>
      <c r="K55" s="9">
        <f t="shared" si="1"/>
        <v>1</v>
      </c>
      <c r="M5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50E0-6D83-FA4B-AB48-FD64F5BBFE7E}">
  <dimension ref="A1:O56"/>
  <sheetViews>
    <sheetView zoomScale="110" zoomScaleNormal="110" workbookViewId="0">
      <pane ySplit="1" topLeftCell="A15" activePane="bottomLeft" state="frozen"/>
      <selection pane="bottomLeft" activeCell="J26" sqref="J26"/>
    </sheetView>
  </sheetViews>
  <sheetFormatPr baseColWidth="10" defaultRowHeight="16"/>
  <cols>
    <col min="1" max="1" width="10.7109375" style="35"/>
    <col min="2" max="2" width="10" style="35" customWidth="1"/>
    <col min="3" max="3" width="15" style="35" customWidth="1"/>
    <col min="4" max="6" width="10.7109375" style="35"/>
    <col min="7" max="7" width="8.85546875" style="35" customWidth="1"/>
    <col min="8" max="9" width="10.7109375" style="35"/>
    <col min="10" max="10" width="14.28515625" style="40" customWidth="1"/>
    <col min="11" max="11" width="11.7109375" style="35" customWidth="1"/>
    <col min="12" max="12" width="11.5703125" style="35" customWidth="1"/>
    <col min="13" max="16384" width="10.7109375" style="35"/>
  </cols>
  <sheetData>
    <row r="1" spans="1:15">
      <c r="A1" s="34" t="s">
        <v>0</v>
      </c>
      <c r="B1" s="34" t="s">
        <v>1</v>
      </c>
      <c r="C1" s="34" t="s">
        <v>2</v>
      </c>
      <c r="D1" s="34" t="s">
        <v>3</v>
      </c>
      <c r="E1" s="34" t="s">
        <v>1</v>
      </c>
      <c r="F1" s="34" t="s">
        <v>4</v>
      </c>
      <c r="G1" s="34" t="s">
        <v>195</v>
      </c>
      <c r="H1" s="34" t="s">
        <v>6</v>
      </c>
      <c r="I1" s="34" t="s">
        <v>196</v>
      </c>
      <c r="J1" s="38" t="s">
        <v>7</v>
      </c>
      <c r="K1" s="34" t="s">
        <v>8</v>
      </c>
      <c r="L1" s="34" t="s">
        <v>197</v>
      </c>
      <c r="M1" s="34" t="s">
        <v>243</v>
      </c>
      <c r="N1" s="34" t="s">
        <v>9</v>
      </c>
      <c r="O1" s="34" t="s">
        <v>10</v>
      </c>
    </row>
    <row r="2" spans="1:15">
      <c r="A2" s="35" t="s">
        <v>11</v>
      </c>
      <c r="B2" s="35" t="s">
        <v>46</v>
      </c>
      <c r="C2" s="35" t="s">
        <v>47</v>
      </c>
      <c r="D2" s="35" t="s">
        <v>48</v>
      </c>
      <c r="E2" s="35" t="s">
        <v>46</v>
      </c>
      <c r="F2" s="35">
        <v>52</v>
      </c>
      <c r="G2" s="35">
        <v>42</v>
      </c>
      <c r="H2" s="35">
        <v>14</v>
      </c>
      <c r="I2" s="35">
        <v>31</v>
      </c>
      <c r="J2" s="36">
        <f t="shared" ref="J2:J37" si="0">H2/F2</f>
        <v>0.26923076923076922</v>
      </c>
      <c r="K2" s="37">
        <f t="shared" ref="K2:K37" si="1">G2/F2</f>
        <v>0.80769230769230771</v>
      </c>
      <c r="L2" s="37">
        <f t="shared" ref="L2:L37" si="2">I2/F2</f>
        <v>0.59615384615384615</v>
      </c>
      <c r="M2" s="39">
        <f t="shared" ref="M2:M33" si="3">F2-I2</f>
        <v>21</v>
      </c>
      <c r="N2" s="37">
        <f t="shared" ref="N2:N33" si="4">M2/F2</f>
        <v>0.40384615384615385</v>
      </c>
      <c r="O2" s="35" t="s">
        <v>49</v>
      </c>
    </row>
    <row r="3" spans="1:15">
      <c r="A3" s="35" t="s">
        <v>11</v>
      </c>
      <c r="B3" s="35" t="s">
        <v>78</v>
      </c>
      <c r="C3" s="35" t="s">
        <v>79</v>
      </c>
      <c r="D3" s="35" t="s">
        <v>80</v>
      </c>
      <c r="E3" s="35" t="s">
        <v>78</v>
      </c>
      <c r="F3" s="35">
        <v>54</v>
      </c>
      <c r="G3" s="35">
        <v>26</v>
      </c>
      <c r="H3" s="35">
        <v>3</v>
      </c>
      <c r="I3" s="35">
        <v>50</v>
      </c>
      <c r="J3" s="36">
        <f t="shared" si="0"/>
        <v>5.5555555555555552E-2</v>
      </c>
      <c r="K3" s="37">
        <f t="shared" si="1"/>
        <v>0.48148148148148145</v>
      </c>
      <c r="L3" s="37">
        <f t="shared" si="2"/>
        <v>0.92592592592592593</v>
      </c>
      <c r="M3" s="39">
        <f t="shared" si="3"/>
        <v>4</v>
      </c>
      <c r="N3" s="37">
        <f t="shared" si="4"/>
        <v>7.407407407407407E-2</v>
      </c>
      <c r="O3" s="35" t="s">
        <v>49</v>
      </c>
    </row>
    <row r="4" spans="1:15">
      <c r="A4" s="35" t="s">
        <v>11</v>
      </c>
      <c r="B4" s="35" t="s">
        <v>108</v>
      </c>
      <c r="C4" s="35" t="s">
        <v>109</v>
      </c>
      <c r="D4" s="35" t="s">
        <v>110</v>
      </c>
      <c r="E4" s="35" t="s">
        <v>108</v>
      </c>
      <c r="F4" s="35">
        <v>60</v>
      </c>
      <c r="G4" s="35">
        <v>44</v>
      </c>
      <c r="H4" s="35">
        <v>32</v>
      </c>
      <c r="I4" s="35">
        <v>27</v>
      </c>
      <c r="J4" s="36">
        <f t="shared" si="0"/>
        <v>0.53333333333333333</v>
      </c>
      <c r="K4" s="37">
        <f t="shared" si="1"/>
        <v>0.73333333333333328</v>
      </c>
      <c r="L4" s="37">
        <f t="shared" si="2"/>
        <v>0.45</v>
      </c>
      <c r="M4" s="39">
        <f t="shared" si="3"/>
        <v>33</v>
      </c>
      <c r="N4" s="37">
        <f t="shared" si="4"/>
        <v>0.55000000000000004</v>
      </c>
      <c r="O4" s="35" t="s">
        <v>49</v>
      </c>
    </row>
    <row r="5" spans="1:15">
      <c r="A5" s="35" t="s">
        <v>11</v>
      </c>
      <c r="B5" s="35" t="s">
        <v>140</v>
      </c>
      <c r="C5" s="35" t="s">
        <v>141</v>
      </c>
      <c r="D5" s="35" t="s">
        <v>142</v>
      </c>
      <c r="E5" s="35" t="s">
        <v>140</v>
      </c>
      <c r="F5" s="35">
        <v>61</v>
      </c>
      <c r="G5" s="35">
        <v>43</v>
      </c>
      <c r="H5" s="35">
        <v>0</v>
      </c>
      <c r="I5" s="35">
        <v>58</v>
      </c>
      <c r="J5" s="36">
        <f t="shared" si="0"/>
        <v>0</v>
      </c>
      <c r="K5" s="37">
        <f t="shared" si="1"/>
        <v>0.70491803278688525</v>
      </c>
      <c r="L5" s="37">
        <f t="shared" si="2"/>
        <v>0.95081967213114749</v>
      </c>
      <c r="M5" s="39">
        <f t="shared" si="3"/>
        <v>3</v>
      </c>
      <c r="N5" s="37">
        <f t="shared" si="4"/>
        <v>4.9180327868852458E-2</v>
      </c>
      <c r="O5" s="35" t="s">
        <v>49</v>
      </c>
    </row>
    <row r="6" spans="1:15">
      <c r="A6" s="35" t="s">
        <v>11</v>
      </c>
      <c r="B6" s="35" t="s">
        <v>15</v>
      </c>
      <c r="C6" s="35" t="s">
        <v>16</v>
      </c>
      <c r="D6" s="35" t="s">
        <v>17</v>
      </c>
      <c r="E6" s="35" t="s">
        <v>15</v>
      </c>
      <c r="F6" s="35">
        <v>50</v>
      </c>
      <c r="G6" s="35">
        <v>50</v>
      </c>
      <c r="H6" s="35">
        <v>37</v>
      </c>
      <c r="I6" s="35">
        <v>5</v>
      </c>
      <c r="J6" s="36">
        <f t="shared" si="0"/>
        <v>0.74</v>
      </c>
      <c r="K6" s="37">
        <f t="shared" si="1"/>
        <v>1</v>
      </c>
      <c r="L6" s="37">
        <f t="shared" si="2"/>
        <v>0.1</v>
      </c>
      <c r="M6" s="39">
        <f t="shared" si="3"/>
        <v>45</v>
      </c>
      <c r="N6" s="37">
        <f t="shared" si="4"/>
        <v>0.9</v>
      </c>
      <c r="O6" s="35" t="s">
        <v>18</v>
      </c>
    </row>
    <row r="7" spans="1:15">
      <c r="A7" s="35" t="s">
        <v>11</v>
      </c>
      <c r="B7" s="35" t="s">
        <v>19</v>
      </c>
      <c r="C7" s="35" t="s">
        <v>20</v>
      </c>
      <c r="D7" s="35" t="s">
        <v>21</v>
      </c>
      <c r="E7" s="35" t="s">
        <v>19</v>
      </c>
      <c r="F7" s="35">
        <v>62</v>
      </c>
      <c r="G7" s="35">
        <v>62</v>
      </c>
      <c r="H7" s="35">
        <v>54</v>
      </c>
      <c r="I7" s="35">
        <v>15</v>
      </c>
      <c r="J7" s="36">
        <f t="shared" si="0"/>
        <v>0.87096774193548387</v>
      </c>
      <c r="K7" s="37">
        <f t="shared" si="1"/>
        <v>1</v>
      </c>
      <c r="L7" s="37">
        <f t="shared" si="2"/>
        <v>0.24193548387096775</v>
      </c>
      <c r="M7" s="39">
        <f t="shared" si="3"/>
        <v>47</v>
      </c>
      <c r="N7" s="37">
        <f t="shared" si="4"/>
        <v>0.75806451612903225</v>
      </c>
      <c r="O7" s="35" t="s">
        <v>18</v>
      </c>
    </row>
    <row r="8" spans="1:15">
      <c r="A8" s="35" t="s">
        <v>11</v>
      </c>
      <c r="B8" s="35" t="s">
        <v>22</v>
      </c>
      <c r="C8" s="35" t="s">
        <v>23</v>
      </c>
      <c r="D8" s="35" t="s">
        <v>24</v>
      </c>
      <c r="E8" s="35" t="s">
        <v>22</v>
      </c>
      <c r="F8" s="35">
        <v>53</v>
      </c>
      <c r="G8" s="35">
        <v>52</v>
      </c>
      <c r="H8" s="35">
        <v>29</v>
      </c>
      <c r="I8" s="35">
        <v>7</v>
      </c>
      <c r="J8" s="36">
        <f t="shared" si="0"/>
        <v>0.54716981132075471</v>
      </c>
      <c r="K8" s="37">
        <f t="shared" si="1"/>
        <v>0.98113207547169812</v>
      </c>
      <c r="L8" s="37">
        <f t="shared" si="2"/>
        <v>0.13207547169811321</v>
      </c>
      <c r="M8" s="39">
        <f t="shared" si="3"/>
        <v>46</v>
      </c>
      <c r="N8" s="37">
        <f t="shared" si="4"/>
        <v>0.86792452830188682</v>
      </c>
      <c r="O8" s="35" t="s">
        <v>18</v>
      </c>
    </row>
    <row r="9" spans="1:15">
      <c r="A9" s="35" t="s">
        <v>11</v>
      </c>
      <c r="B9" s="35" t="s">
        <v>33</v>
      </c>
      <c r="C9" s="35" t="s">
        <v>34</v>
      </c>
      <c r="D9" s="35" t="s">
        <v>35</v>
      </c>
      <c r="E9" s="35" t="s">
        <v>33</v>
      </c>
      <c r="F9" s="35">
        <v>80</v>
      </c>
      <c r="G9" s="35">
        <v>61</v>
      </c>
      <c r="H9" s="35">
        <v>16</v>
      </c>
      <c r="I9" s="35">
        <v>55</v>
      </c>
      <c r="J9" s="36">
        <f t="shared" si="0"/>
        <v>0.2</v>
      </c>
      <c r="K9" s="37">
        <f t="shared" si="1"/>
        <v>0.76249999999999996</v>
      </c>
      <c r="L9" s="37">
        <f t="shared" si="2"/>
        <v>0.6875</v>
      </c>
      <c r="M9" s="39">
        <f t="shared" si="3"/>
        <v>25</v>
      </c>
      <c r="N9" s="37">
        <f t="shared" si="4"/>
        <v>0.3125</v>
      </c>
      <c r="O9" s="35" t="s">
        <v>18</v>
      </c>
    </row>
    <row r="10" spans="1:15">
      <c r="A10" s="35" t="s">
        <v>11</v>
      </c>
      <c r="B10" s="35" t="s">
        <v>50</v>
      </c>
      <c r="C10" s="35" t="s">
        <v>51</v>
      </c>
      <c r="D10" s="35" t="s">
        <v>52</v>
      </c>
      <c r="E10" s="35" t="s">
        <v>50</v>
      </c>
      <c r="F10" s="35">
        <v>69</v>
      </c>
      <c r="G10" s="35">
        <v>69</v>
      </c>
      <c r="H10" s="35">
        <v>46</v>
      </c>
      <c r="I10" s="35">
        <v>13</v>
      </c>
      <c r="J10" s="36">
        <f t="shared" si="0"/>
        <v>0.66666666666666663</v>
      </c>
      <c r="K10" s="37">
        <f t="shared" si="1"/>
        <v>1</v>
      </c>
      <c r="L10" s="37">
        <f t="shared" si="2"/>
        <v>0.18840579710144928</v>
      </c>
      <c r="M10" s="39">
        <f t="shared" si="3"/>
        <v>56</v>
      </c>
      <c r="N10" s="37">
        <f t="shared" si="4"/>
        <v>0.81159420289855078</v>
      </c>
      <c r="O10" s="35" t="s">
        <v>18</v>
      </c>
    </row>
    <row r="11" spans="1:15">
      <c r="A11" s="35" t="s">
        <v>11</v>
      </c>
      <c r="B11" s="35" t="s">
        <v>64</v>
      </c>
      <c r="C11" s="35" t="s">
        <v>65</v>
      </c>
      <c r="D11" s="35" t="s">
        <v>45</v>
      </c>
      <c r="E11" s="35" t="s">
        <v>64</v>
      </c>
      <c r="F11" s="35">
        <v>55</v>
      </c>
      <c r="G11" s="35">
        <v>55</v>
      </c>
      <c r="H11" s="35">
        <v>13</v>
      </c>
      <c r="I11" s="35">
        <v>21</v>
      </c>
      <c r="J11" s="36">
        <f t="shared" si="0"/>
        <v>0.23636363636363636</v>
      </c>
      <c r="K11" s="37">
        <f t="shared" si="1"/>
        <v>1</v>
      </c>
      <c r="L11" s="37">
        <f t="shared" si="2"/>
        <v>0.38181818181818183</v>
      </c>
      <c r="M11" s="39">
        <f t="shared" si="3"/>
        <v>34</v>
      </c>
      <c r="N11" s="37">
        <f t="shared" si="4"/>
        <v>0.61818181818181817</v>
      </c>
      <c r="O11" s="35" t="s">
        <v>18</v>
      </c>
    </row>
    <row r="12" spans="1:15">
      <c r="A12" s="35" t="s">
        <v>11</v>
      </c>
      <c r="B12" s="35" t="s">
        <v>69</v>
      </c>
      <c r="C12" s="35" t="s">
        <v>70</v>
      </c>
      <c r="D12" s="35" t="s">
        <v>71</v>
      </c>
      <c r="E12" s="35" t="s">
        <v>69</v>
      </c>
      <c r="F12" s="35">
        <v>52</v>
      </c>
      <c r="G12" s="35">
        <v>49</v>
      </c>
      <c r="H12" s="35">
        <v>51</v>
      </c>
      <c r="I12" s="35">
        <v>6</v>
      </c>
      <c r="J12" s="36">
        <f t="shared" si="0"/>
        <v>0.98076923076923073</v>
      </c>
      <c r="K12" s="37">
        <f t="shared" si="1"/>
        <v>0.94230769230769229</v>
      </c>
      <c r="L12" s="37">
        <f t="shared" si="2"/>
        <v>0.11538461538461539</v>
      </c>
      <c r="M12" s="39">
        <f t="shared" si="3"/>
        <v>46</v>
      </c>
      <c r="N12" s="37">
        <f t="shared" si="4"/>
        <v>0.88461538461538458</v>
      </c>
      <c r="O12" s="35" t="s">
        <v>18</v>
      </c>
    </row>
    <row r="13" spans="1:15">
      <c r="A13" s="35" t="s">
        <v>11</v>
      </c>
      <c r="B13" s="35" t="s">
        <v>72</v>
      </c>
      <c r="C13" s="35" t="s">
        <v>73</v>
      </c>
      <c r="D13" s="35" t="s">
        <v>74</v>
      </c>
      <c r="E13" s="35" t="s">
        <v>72</v>
      </c>
      <c r="F13" s="35">
        <v>65</v>
      </c>
      <c r="G13" s="35">
        <v>57</v>
      </c>
      <c r="H13" s="35">
        <v>52</v>
      </c>
      <c r="I13" s="35">
        <v>12</v>
      </c>
      <c r="J13" s="36">
        <f t="shared" si="0"/>
        <v>0.8</v>
      </c>
      <c r="K13" s="37">
        <f t="shared" si="1"/>
        <v>0.87692307692307692</v>
      </c>
      <c r="L13" s="37">
        <f t="shared" si="2"/>
        <v>0.18461538461538463</v>
      </c>
      <c r="M13" s="39">
        <f t="shared" si="3"/>
        <v>53</v>
      </c>
      <c r="N13" s="37">
        <f t="shared" si="4"/>
        <v>0.81538461538461537</v>
      </c>
      <c r="O13" s="35" t="s">
        <v>18</v>
      </c>
    </row>
    <row r="14" spans="1:15">
      <c r="A14" s="35" t="s">
        <v>11</v>
      </c>
      <c r="B14" s="35" t="s">
        <v>81</v>
      </c>
      <c r="C14" s="35" t="s">
        <v>82</v>
      </c>
      <c r="D14" s="35" t="s">
        <v>83</v>
      </c>
      <c r="E14" s="35" t="s">
        <v>81</v>
      </c>
      <c r="F14" s="35">
        <v>56</v>
      </c>
      <c r="G14" s="35">
        <v>55</v>
      </c>
      <c r="H14" s="35">
        <v>51</v>
      </c>
      <c r="I14" s="35">
        <v>5</v>
      </c>
      <c r="J14" s="36">
        <f t="shared" si="0"/>
        <v>0.9107142857142857</v>
      </c>
      <c r="K14" s="37">
        <f t="shared" si="1"/>
        <v>0.9821428571428571</v>
      </c>
      <c r="L14" s="37">
        <f t="shared" si="2"/>
        <v>8.9285714285714288E-2</v>
      </c>
      <c r="M14" s="39">
        <f t="shared" si="3"/>
        <v>51</v>
      </c>
      <c r="N14" s="37">
        <f t="shared" si="4"/>
        <v>0.9107142857142857</v>
      </c>
      <c r="O14" s="35" t="s">
        <v>18</v>
      </c>
    </row>
    <row r="15" spans="1:15">
      <c r="A15" s="35" t="s">
        <v>11</v>
      </c>
      <c r="B15" s="35" t="s">
        <v>87</v>
      </c>
      <c r="C15" s="35" t="s">
        <v>88</v>
      </c>
      <c r="D15" s="35" t="s">
        <v>89</v>
      </c>
      <c r="E15" s="35" t="s">
        <v>87</v>
      </c>
      <c r="F15" s="35">
        <v>69</v>
      </c>
      <c r="G15" s="35">
        <v>69</v>
      </c>
      <c r="H15" s="35">
        <v>59</v>
      </c>
      <c r="I15" s="35">
        <v>6</v>
      </c>
      <c r="J15" s="36">
        <f t="shared" si="0"/>
        <v>0.85507246376811596</v>
      </c>
      <c r="K15" s="37">
        <f t="shared" si="1"/>
        <v>1</v>
      </c>
      <c r="L15" s="37">
        <f t="shared" si="2"/>
        <v>8.6956521739130432E-2</v>
      </c>
      <c r="M15" s="39">
        <f t="shared" si="3"/>
        <v>63</v>
      </c>
      <c r="N15" s="37">
        <f t="shared" si="4"/>
        <v>0.91304347826086951</v>
      </c>
      <c r="O15" s="35" t="s">
        <v>18</v>
      </c>
    </row>
    <row r="16" spans="1:15">
      <c r="A16" s="35" t="s">
        <v>11</v>
      </c>
      <c r="B16" s="35" t="s">
        <v>96</v>
      </c>
      <c r="C16" s="35" t="s">
        <v>97</v>
      </c>
      <c r="D16" s="35" t="s">
        <v>98</v>
      </c>
      <c r="E16" s="35" t="s">
        <v>96</v>
      </c>
      <c r="F16" s="35">
        <v>72</v>
      </c>
      <c r="G16" s="35">
        <v>50</v>
      </c>
      <c r="H16" s="35">
        <v>31</v>
      </c>
      <c r="I16" s="35">
        <v>40</v>
      </c>
      <c r="J16" s="36">
        <f t="shared" si="0"/>
        <v>0.43055555555555558</v>
      </c>
      <c r="K16" s="37">
        <f t="shared" si="1"/>
        <v>0.69444444444444442</v>
      </c>
      <c r="L16" s="37">
        <f t="shared" si="2"/>
        <v>0.55555555555555558</v>
      </c>
      <c r="M16" s="39">
        <f t="shared" si="3"/>
        <v>32</v>
      </c>
      <c r="N16" s="37">
        <f t="shared" si="4"/>
        <v>0.44444444444444442</v>
      </c>
      <c r="O16" s="35" t="s">
        <v>18</v>
      </c>
    </row>
    <row r="17" spans="1:15">
      <c r="A17" s="35" t="s">
        <v>11</v>
      </c>
      <c r="B17" s="35" t="s">
        <v>99</v>
      </c>
      <c r="C17" s="35" t="s">
        <v>100</v>
      </c>
      <c r="D17" s="35" t="s">
        <v>101</v>
      </c>
      <c r="E17" s="35" t="s">
        <v>99</v>
      </c>
      <c r="F17" s="35">
        <v>65</v>
      </c>
      <c r="G17" s="35">
        <v>64</v>
      </c>
      <c r="H17" s="35">
        <v>38</v>
      </c>
      <c r="I17" s="35">
        <v>8</v>
      </c>
      <c r="J17" s="36">
        <f t="shared" si="0"/>
        <v>0.58461538461538465</v>
      </c>
      <c r="K17" s="37">
        <f t="shared" si="1"/>
        <v>0.98461538461538467</v>
      </c>
      <c r="L17" s="37">
        <f t="shared" si="2"/>
        <v>0.12307692307692308</v>
      </c>
      <c r="M17" s="39">
        <f t="shared" si="3"/>
        <v>57</v>
      </c>
      <c r="N17" s="37">
        <f t="shared" si="4"/>
        <v>0.87692307692307692</v>
      </c>
      <c r="O17" s="35" t="s">
        <v>18</v>
      </c>
    </row>
    <row r="18" spans="1:15">
      <c r="B18" s="35" t="s">
        <v>104</v>
      </c>
      <c r="C18" s="35" t="s">
        <v>105</v>
      </c>
      <c r="D18" s="35" t="s">
        <v>106</v>
      </c>
      <c r="E18" s="35" t="s">
        <v>107</v>
      </c>
      <c r="F18" s="35">
        <v>64</v>
      </c>
      <c r="G18" s="35">
        <v>54</v>
      </c>
      <c r="H18" s="35">
        <v>25</v>
      </c>
      <c r="I18" s="35">
        <v>32</v>
      </c>
      <c r="J18" s="36">
        <f t="shared" si="0"/>
        <v>0.390625</v>
      </c>
      <c r="K18" s="37">
        <f t="shared" si="1"/>
        <v>0.84375</v>
      </c>
      <c r="L18" s="37">
        <f t="shared" si="2"/>
        <v>0.5</v>
      </c>
      <c r="M18" s="39">
        <f t="shared" si="3"/>
        <v>32</v>
      </c>
      <c r="N18" s="37">
        <f t="shared" si="4"/>
        <v>0.5</v>
      </c>
      <c r="O18" s="35" t="s">
        <v>18</v>
      </c>
    </row>
    <row r="19" spans="1:15">
      <c r="A19" s="35" t="s">
        <v>11</v>
      </c>
      <c r="B19" s="35" t="s">
        <v>111</v>
      </c>
      <c r="C19" s="35" t="s">
        <v>112</v>
      </c>
      <c r="D19" s="35" t="s">
        <v>113</v>
      </c>
      <c r="E19" s="35" t="s">
        <v>111</v>
      </c>
      <c r="F19" s="35">
        <v>59</v>
      </c>
      <c r="G19" s="35">
        <v>59</v>
      </c>
      <c r="H19" s="35">
        <v>16</v>
      </c>
      <c r="I19" s="35">
        <v>21</v>
      </c>
      <c r="J19" s="36">
        <f t="shared" si="0"/>
        <v>0.2711864406779661</v>
      </c>
      <c r="K19" s="37">
        <f t="shared" si="1"/>
        <v>1</v>
      </c>
      <c r="L19" s="37">
        <f t="shared" si="2"/>
        <v>0.3559322033898305</v>
      </c>
      <c r="M19" s="39">
        <f t="shared" si="3"/>
        <v>38</v>
      </c>
      <c r="N19" s="37">
        <f t="shared" si="4"/>
        <v>0.64406779661016944</v>
      </c>
      <c r="O19" s="35" t="s">
        <v>18</v>
      </c>
    </row>
    <row r="20" spans="1:15">
      <c r="A20" s="35" t="s">
        <v>11</v>
      </c>
      <c r="B20" s="35" t="s">
        <v>114</v>
      </c>
      <c r="C20" s="35" t="s">
        <v>115</v>
      </c>
      <c r="D20" s="35" t="s">
        <v>116</v>
      </c>
      <c r="E20" s="35" t="s">
        <v>114</v>
      </c>
      <c r="F20" s="35">
        <v>65</v>
      </c>
      <c r="G20" s="35">
        <v>64</v>
      </c>
      <c r="H20" s="35">
        <v>55</v>
      </c>
      <c r="I20" s="35">
        <v>4</v>
      </c>
      <c r="J20" s="36">
        <f t="shared" si="0"/>
        <v>0.84615384615384615</v>
      </c>
      <c r="K20" s="37">
        <f t="shared" si="1"/>
        <v>0.98461538461538467</v>
      </c>
      <c r="L20" s="37">
        <f t="shared" si="2"/>
        <v>6.1538461538461542E-2</v>
      </c>
      <c r="M20" s="39">
        <f t="shared" si="3"/>
        <v>61</v>
      </c>
      <c r="N20" s="37">
        <f t="shared" si="4"/>
        <v>0.93846153846153846</v>
      </c>
      <c r="O20" s="35" t="s">
        <v>18</v>
      </c>
    </row>
    <row r="21" spans="1:15">
      <c r="A21" s="35" t="s">
        <v>11</v>
      </c>
      <c r="B21" s="35" t="s">
        <v>123</v>
      </c>
      <c r="C21" s="35" t="s">
        <v>124</v>
      </c>
      <c r="D21" s="35" t="s">
        <v>125</v>
      </c>
      <c r="E21" s="35" t="s">
        <v>123</v>
      </c>
      <c r="F21" s="35">
        <v>53</v>
      </c>
      <c r="G21" s="35">
        <v>53</v>
      </c>
      <c r="H21" s="35">
        <v>29</v>
      </c>
      <c r="I21" s="35">
        <v>5</v>
      </c>
      <c r="J21" s="36">
        <f t="shared" si="0"/>
        <v>0.54716981132075471</v>
      </c>
      <c r="K21" s="37">
        <f t="shared" si="1"/>
        <v>1</v>
      </c>
      <c r="L21" s="37">
        <f t="shared" si="2"/>
        <v>9.4339622641509441E-2</v>
      </c>
      <c r="M21" s="39">
        <f t="shared" si="3"/>
        <v>48</v>
      </c>
      <c r="N21" s="37">
        <f t="shared" si="4"/>
        <v>0.90566037735849059</v>
      </c>
      <c r="O21" s="35" t="s">
        <v>18</v>
      </c>
    </row>
    <row r="22" spans="1:15">
      <c r="A22" s="35" t="s">
        <v>11</v>
      </c>
      <c r="B22" s="35" t="s">
        <v>126</v>
      </c>
      <c r="C22" s="35" t="s">
        <v>127</v>
      </c>
      <c r="D22" s="35" t="s">
        <v>128</v>
      </c>
      <c r="E22" s="35" t="s">
        <v>126</v>
      </c>
      <c r="F22" s="35">
        <v>58</v>
      </c>
      <c r="G22" s="35">
        <v>53</v>
      </c>
      <c r="H22" s="35">
        <v>55</v>
      </c>
      <c r="I22" s="35">
        <v>6</v>
      </c>
      <c r="J22" s="36">
        <f t="shared" si="0"/>
        <v>0.94827586206896552</v>
      </c>
      <c r="K22" s="37">
        <f t="shared" si="1"/>
        <v>0.91379310344827591</v>
      </c>
      <c r="L22" s="37">
        <f t="shared" si="2"/>
        <v>0.10344827586206896</v>
      </c>
      <c r="M22" s="39">
        <f t="shared" si="3"/>
        <v>52</v>
      </c>
      <c r="N22" s="37">
        <f t="shared" si="4"/>
        <v>0.89655172413793105</v>
      </c>
      <c r="O22" s="35" t="s">
        <v>18</v>
      </c>
    </row>
    <row r="23" spans="1:15">
      <c r="A23" s="35" t="s">
        <v>11</v>
      </c>
      <c r="B23" s="35" t="s">
        <v>129</v>
      </c>
      <c r="C23" s="35" t="s">
        <v>130</v>
      </c>
      <c r="D23" s="35" t="s">
        <v>131</v>
      </c>
      <c r="E23" s="35" t="s">
        <v>129</v>
      </c>
      <c r="F23" s="35">
        <v>50</v>
      </c>
      <c r="G23" s="35">
        <v>50</v>
      </c>
      <c r="H23" s="35">
        <v>48</v>
      </c>
      <c r="I23" s="35">
        <v>2</v>
      </c>
      <c r="J23" s="36">
        <f t="shared" si="0"/>
        <v>0.96</v>
      </c>
      <c r="K23" s="37">
        <f t="shared" si="1"/>
        <v>1</v>
      </c>
      <c r="L23" s="37">
        <f t="shared" si="2"/>
        <v>0.04</v>
      </c>
      <c r="M23" s="39">
        <f t="shared" si="3"/>
        <v>48</v>
      </c>
      <c r="N23" s="37">
        <f t="shared" si="4"/>
        <v>0.96</v>
      </c>
      <c r="O23" s="35" t="s">
        <v>18</v>
      </c>
    </row>
    <row r="24" spans="1:15">
      <c r="A24" s="35" t="s">
        <v>11</v>
      </c>
      <c r="B24" s="35" t="s">
        <v>137</v>
      </c>
      <c r="C24" s="35" t="s">
        <v>138</v>
      </c>
      <c r="D24" s="35" t="s">
        <v>139</v>
      </c>
      <c r="E24" s="35" t="s">
        <v>137</v>
      </c>
      <c r="F24" s="35">
        <v>64</v>
      </c>
      <c r="G24" s="35">
        <v>57</v>
      </c>
      <c r="H24" s="35">
        <v>42</v>
      </c>
      <c r="I24" s="35">
        <v>9</v>
      </c>
      <c r="J24" s="36">
        <f t="shared" si="0"/>
        <v>0.65625</v>
      </c>
      <c r="K24" s="37">
        <f t="shared" si="1"/>
        <v>0.890625</v>
      </c>
      <c r="L24" s="37">
        <f t="shared" si="2"/>
        <v>0.140625</v>
      </c>
      <c r="M24" s="39">
        <f t="shared" si="3"/>
        <v>55</v>
      </c>
      <c r="N24" s="37">
        <f t="shared" si="4"/>
        <v>0.859375</v>
      </c>
      <c r="O24" s="35" t="s">
        <v>18</v>
      </c>
    </row>
    <row r="25" spans="1:15">
      <c r="A25" s="35" t="s">
        <v>11</v>
      </c>
      <c r="B25" s="35" t="s">
        <v>143</v>
      </c>
      <c r="C25" s="35" t="s">
        <v>144</v>
      </c>
      <c r="D25" s="35" t="s">
        <v>145</v>
      </c>
      <c r="E25" s="35" t="s">
        <v>143</v>
      </c>
      <c r="F25" s="35">
        <v>59</v>
      </c>
      <c r="G25" s="35">
        <v>59</v>
      </c>
      <c r="H25" s="35">
        <v>37</v>
      </c>
      <c r="I25" s="35">
        <v>10</v>
      </c>
      <c r="J25" s="36">
        <f t="shared" si="0"/>
        <v>0.6271186440677966</v>
      </c>
      <c r="K25" s="37">
        <f t="shared" si="1"/>
        <v>1</v>
      </c>
      <c r="L25" s="37">
        <f t="shared" si="2"/>
        <v>0.16949152542372881</v>
      </c>
      <c r="M25" s="39">
        <f t="shared" si="3"/>
        <v>49</v>
      </c>
      <c r="N25" s="37">
        <f t="shared" si="4"/>
        <v>0.83050847457627119</v>
      </c>
      <c r="O25" s="35" t="s">
        <v>18</v>
      </c>
    </row>
    <row r="26" spans="1:15">
      <c r="A26" s="35" t="s">
        <v>11</v>
      </c>
      <c r="B26" s="35" t="s">
        <v>146</v>
      </c>
      <c r="C26" s="35" t="s">
        <v>147</v>
      </c>
      <c r="D26" s="35" t="s">
        <v>148</v>
      </c>
      <c r="E26" s="35" t="s">
        <v>146</v>
      </c>
      <c r="F26" s="35">
        <v>52</v>
      </c>
      <c r="G26" s="35">
        <v>44</v>
      </c>
      <c r="H26" s="35">
        <v>30</v>
      </c>
      <c r="I26" s="35">
        <v>14</v>
      </c>
      <c r="J26" s="36">
        <f t="shared" si="0"/>
        <v>0.57692307692307687</v>
      </c>
      <c r="K26" s="37">
        <f t="shared" si="1"/>
        <v>0.84615384615384615</v>
      </c>
      <c r="L26" s="37">
        <f t="shared" si="2"/>
        <v>0.26923076923076922</v>
      </c>
      <c r="M26" s="39">
        <f t="shared" si="3"/>
        <v>38</v>
      </c>
      <c r="N26" s="37">
        <f t="shared" si="4"/>
        <v>0.73076923076923073</v>
      </c>
      <c r="O26" s="35" t="s">
        <v>18</v>
      </c>
    </row>
    <row r="27" spans="1:15">
      <c r="A27" s="35" t="s">
        <v>11</v>
      </c>
      <c r="B27" s="35" t="s">
        <v>152</v>
      </c>
      <c r="C27" s="35" t="s">
        <v>153</v>
      </c>
      <c r="D27" s="35" t="s">
        <v>154</v>
      </c>
      <c r="E27" s="35" t="s">
        <v>152</v>
      </c>
      <c r="F27" s="35">
        <v>64</v>
      </c>
      <c r="G27" s="35">
        <v>63</v>
      </c>
      <c r="H27" s="35">
        <v>47</v>
      </c>
      <c r="I27" s="35">
        <v>11</v>
      </c>
      <c r="J27" s="36">
        <f t="shared" si="0"/>
        <v>0.734375</v>
      </c>
      <c r="K27" s="37">
        <f t="shared" si="1"/>
        <v>0.984375</v>
      </c>
      <c r="L27" s="37">
        <f t="shared" si="2"/>
        <v>0.171875</v>
      </c>
      <c r="M27" s="39">
        <f t="shared" si="3"/>
        <v>53</v>
      </c>
      <c r="N27" s="37">
        <f t="shared" si="4"/>
        <v>0.828125</v>
      </c>
      <c r="O27" s="35" t="s">
        <v>18</v>
      </c>
    </row>
    <row r="28" spans="1:15">
      <c r="A28" s="35" t="s">
        <v>11</v>
      </c>
      <c r="B28" s="35" t="s">
        <v>155</v>
      </c>
      <c r="C28" s="35" t="s">
        <v>156</v>
      </c>
      <c r="D28" s="35" t="s">
        <v>157</v>
      </c>
      <c r="E28" s="35" t="s">
        <v>155</v>
      </c>
      <c r="F28" s="35">
        <v>60</v>
      </c>
      <c r="G28" s="35">
        <v>49</v>
      </c>
      <c r="H28" s="35">
        <v>27</v>
      </c>
      <c r="I28" s="35">
        <v>27</v>
      </c>
      <c r="J28" s="36">
        <f t="shared" si="0"/>
        <v>0.45</v>
      </c>
      <c r="K28" s="37">
        <f t="shared" si="1"/>
        <v>0.81666666666666665</v>
      </c>
      <c r="L28" s="37">
        <f t="shared" si="2"/>
        <v>0.45</v>
      </c>
      <c r="M28" s="39">
        <f t="shared" si="3"/>
        <v>33</v>
      </c>
      <c r="N28" s="37">
        <f t="shared" si="4"/>
        <v>0.55000000000000004</v>
      </c>
      <c r="O28" s="35" t="s">
        <v>18</v>
      </c>
    </row>
    <row r="29" spans="1:15">
      <c r="A29" s="35" t="s">
        <v>11</v>
      </c>
      <c r="B29" s="35" t="s">
        <v>158</v>
      </c>
      <c r="C29" s="35" t="s">
        <v>159</v>
      </c>
      <c r="D29" s="35" t="s">
        <v>160</v>
      </c>
      <c r="E29" s="35" t="s">
        <v>158</v>
      </c>
      <c r="F29" s="35">
        <v>60</v>
      </c>
      <c r="G29" s="35">
        <v>60</v>
      </c>
      <c r="H29" s="35">
        <v>49</v>
      </c>
      <c r="I29" s="35">
        <v>5</v>
      </c>
      <c r="J29" s="36">
        <f t="shared" si="0"/>
        <v>0.81666666666666665</v>
      </c>
      <c r="K29" s="37">
        <f t="shared" si="1"/>
        <v>1</v>
      </c>
      <c r="L29" s="37">
        <f t="shared" si="2"/>
        <v>8.3333333333333329E-2</v>
      </c>
      <c r="M29" s="39">
        <f t="shared" si="3"/>
        <v>55</v>
      </c>
      <c r="N29" s="37">
        <f t="shared" si="4"/>
        <v>0.91666666666666663</v>
      </c>
      <c r="O29" s="35" t="s">
        <v>18</v>
      </c>
    </row>
    <row r="30" spans="1:15">
      <c r="A30" s="35" t="s">
        <v>11</v>
      </c>
      <c r="B30" s="35" t="s">
        <v>168</v>
      </c>
      <c r="C30" s="35" t="s">
        <v>169</v>
      </c>
      <c r="D30" s="35" t="s">
        <v>170</v>
      </c>
      <c r="E30" s="35" t="s">
        <v>168</v>
      </c>
      <c r="F30" s="35">
        <v>55</v>
      </c>
      <c r="G30" s="35">
        <v>54</v>
      </c>
      <c r="H30" s="35">
        <v>37</v>
      </c>
      <c r="I30" s="35">
        <v>6</v>
      </c>
      <c r="J30" s="36">
        <f t="shared" si="0"/>
        <v>0.67272727272727273</v>
      </c>
      <c r="K30" s="37">
        <f t="shared" si="1"/>
        <v>0.98181818181818181</v>
      </c>
      <c r="L30" s="37">
        <f t="shared" si="2"/>
        <v>0.10909090909090909</v>
      </c>
      <c r="M30" s="39">
        <f t="shared" si="3"/>
        <v>49</v>
      </c>
      <c r="N30" s="37">
        <f t="shared" si="4"/>
        <v>0.89090909090909087</v>
      </c>
      <c r="O30" s="35" t="s">
        <v>18</v>
      </c>
    </row>
    <row r="31" spans="1:15">
      <c r="A31" s="35" t="s">
        <v>11</v>
      </c>
      <c r="B31" s="35" t="s">
        <v>186</v>
      </c>
      <c r="C31" s="35" t="s">
        <v>187</v>
      </c>
      <c r="D31" s="35" t="s">
        <v>188</v>
      </c>
      <c r="E31" s="35" t="s">
        <v>186</v>
      </c>
      <c r="F31" s="35">
        <v>56</v>
      </c>
      <c r="G31" s="35">
        <v>51</v>
      </c>
      <c r="H31" s="35">
        <v>43</v>
      </c>
      <c r="I31" s="35">
        <v>13</v>
      </c>
      <c r="J31" s="36">
        <f t="shared" si="0"/>
        <v>0.7678571428571429</v>
      </c>
      <c r="K31" s="37">
        <f t="shared" si="1"/>
        <v>0.9107142857142857</v>
      </c>
      <c r="L31" s="37">
        <f t="shared" si="2"/>
        <v>0.23214285714285715</v>
      </c>
      <c r="M31" s="39">
        <f t="shared" si="3"/>
        <v>43</v>
      </c>
      <c r="N31" s="37">
        <f t="shared" si="4"/>
        <v>0.7678571428571429</v>
      </c>
      <c r="O31" s="35" t="s">
        <v>18</v>
      </c>
    </row>
    <row r="32" spans="1:15">
      <c r="B32" s="35" t="s">
        <v>191</v>
      </c>
      <c r="C32" s="35" t="s">
        <v>192</v>
      </c>
      <c r="D32" s="35" t="s">
        <v>193</v>
      </c>
      <c r="E32" s="35" t="s">
        <v>191</v>
      </c>
      <c r="F32" s="35">
        <v>62</v>
      </c>
      <c r="G32" s="35">
        <v>62</v>
      </c>
      <c r="H32" s="35">
        <v>18</v>
      </c>
      <c r="I32" s="35">
        <v>21</v>
      </c>
      <c r="J32" s="36">
        <f t="shared" si="0"/>
        <v>0.29032258064516131</v>
      </c>
      <c r="K32" s="37">
        <f t="shared" si="1"/>
        <v>1</v>
      </c>
      <c r="L32" s="37">
        <f t="shared" si="2"/>
        <v>0.33870967741935482</v>
      </c>
      <c r="M32" s="39">
        <f t="shared" si="3"/>
        <v>41</v>
      </c>
      <c r="N32" s="37">
        <f t="shared" si="4"/>
        <v>0.66129032258064513</v>
      </c>
      <c r="O32" s="35" t="s">
        <v>18</v>
      </c>
    </row>
    <row r="33" spans="1:15">
      <c r="A33" s="35" t="s">
        <v>11</v>
      </c>
      <c r="B33" s="35" t="s">
        <v>60</v>
      </c>
      <c r="C33" s="35" t="s">
        <v>61</v>
      </c>
      <c r="D33" s="35" t="s">
        <v>62</v>
      </c>
      <c r="E33" s="35" t="s">
        <v>60</v>
      </c>
      <c r="F33" s="35">
        <v>73</v>
      </c>
      <c r="G33" s="35">
        <v>66</v>
      </c>
      <c r="H33" s="35">
        <v>3</v>
      </c>
      <c r="I33" s="35">
        <v>69</v>
      </c>
      <c r="J33" s="36">
        <f t="shared" si="0"/>
        <v>4.1095890410958902E-2</v>
      </c>
      <c r="K33" s="37">
        <f t="shared" si="1"/>
        <v>0.90410958904109584</v>
      </c>
      <c r="L33" s="37">
        <f t="shared" si="2"/>
        <v>0.9452054794520548</v>
      </c>
      <c r="M33" s="39">
        <f t="shared" si="3"/>
        <v>4</v>
      </c>
      <c r="N33" s="37">
        <f t="shared" si="4"/>
        <v>5.4794520547945202E-2</v>
      </c>
      <c r="O33" s="35" t="s">
        <v>63</v>
      </c>
    </row>
    <row r="34" spans="1:15">
      <c r="A34" s="35" t="s">
        <v>11</v>
      </c>
      <c r="B34" s="35" t="s">
        <v>66</v>
      </c>
      <c r="C34" s="35" t="s">
        <v>67</v>
      </c>
      <c r="D34" s="35" t="s">
        <v>68</v>
      </c>
      <c r="E34" s="35" t="s">
        <v>66</v>
      </c>
      <c r="F34" s="35">
        <v>61</v>
      </c>
      <c r="G34" s="35">
        <v>33</v>
      </c>
      <c r="H34" s="35">
        <v>0</v>
      </c>
      <c r="I34" s="35">
        <v>59</v>
      </c>
      <c r="J34" s="36">
        <f t="shared" si="0"/>
        <v>0</v>
      </c>
      <c r="K34" s="37">
        <f t="shared" si="1"/>
        <v>0.54098360655737709</v>
      </c>
      <c r="L34" s="37">
        <f t="shared" si="2"/>
        <v>0.96721311475409832</v>
      </c>
      <c r="M34" s="39">
        <f t="shared" ref="M34:M56" si="5">F34-I34</f>
        <v>2</v>
      </c>
      <c r="N34" s="37">
        <f t="shared" ref="N34:N56" si="6">M34/F34</f>
        <v>3.2786885245901641E-2</v>
      </c>
      <c r="O34" s="35" t="s">
        <v>63</v>
      </c>
    </row>
    <row r="35" spans="1:15">
      <c r="A35" s="35" t="s">
        <v>11</v>
      </c>
      <c r="B35" s="35" t="s">
        <v>149</v>
      </c>
      <c r="C35" s="35" t="s">
        <v>150</v>
      </c>
      <c r="D35" s="35" t="s">
        <v>151</v>
      </c>
      <c r="E35" s="35" t="s">
        <v>149</v>
      </c>
      <c r="F35" s="35">
        <v>77</v>
      </c>
      <c r="G35" s="35">
        <v>20</v>
      </c>
      <c r="H35" s="35">
        <v>0</v>
      </c>
      <c r="I35" s="35">
        <v>73</v>
      </c>
      <c r="J35" s="36">
        <f t="shared" si="0"/>
        <v>0</v>
      </c>
      <c r="K35" s="37">
        <f t="shared" si="1"/>
        <v>0.25974025974025972</v>
      </c>
      <c r="L35" s="37">
        <f t="shared" si="2"/>
        <v>0.94805194805194803</v>
      </c>
      <c r="M35" s="39">
        <f t="shared" si="5"/>
        <v>4</v>
      </c>
      <c r="N35" s="37">
        <f t="shared" si="6"/>
        <v>5.1948051948051951E-2</v>
      </c>
      <c r="O35" s="35" t="s">
        <v>63</v>
      </c>
    </row>
    <row r="36" spans="1:15">
      <c r="A36" s="35" t="s">
        <v>11</v>
      </c>
      <c r="B36" s="35" t="s">
        <v>36</v>
      </c>
      <c r="C36" s="35" t="s">
        <v>37</v>
      </c>
      <c r="D36" s="35" t="s">
        <v>38</v>
      </c>
      <c r="E36" s="35" t="s">
        <v>36</v>
      </c>
      <c r="F36" s="35">
        <v>56</v>
      </c>
      <c r="G36" s="35">
        <v>53</v>
      </c>
      <c r="H36" s="35">
        <v>50</v>
      </c>
      <c r="I36" s="35">
        <v>2</v>
      </c>
      <c r="J36" s="36">
        <f t="shared" si="0"/>
        <v>0.8928571428571429</v>
      </c>
      <c r="K36" s="37">
        <f t="shared" si="1"/>
        <v>0.9464285714285714</v>
      </c>
      <c r="L36" s="37">
        <f t="shared" si="2"/>
        <v>3.5714285714285712E-2</v>
      </c>
      <c r="M36" s="39">
        <f t="shared" si="5"/>
        <v>54</v>
      </c>
      <c r="N36" s="37">
        <f t="shared" si="6"/>
        <v>0.9642857142857143</v>
      </c>
      <c r="O36" s="35" t="s">
        <v>39</v>
      </c>
    </row>
    <row r="37" spans="1:15">
      <c r="A37" s="35" t="s">
        <v>11</v>
      </c>
      <c r="B37" s="35" t="s">
        <v>40</v>
      </c>
      <c r="C37" s="35" t="s">
        <v>41</v>
      </c>
      <c r="D37" s="35" t="s">
        <v>42</v>
      </c>
      <c r="E37" s="35" t="s">
        <v>40</v>
      </c>
      <c r="F37" s="35">
        <v>67</v>
      </c>
      <c r="G37" s="35">
        <v>60</v>
      </c>
      <c r="H37" s="35">
        <v>44</v>
      </c>
      <c r="I37" s="35">
        <v>24</v>
      </c>
      <c r="J37" s="36">
        <f t="shared" si="0"/>
        <v>0.65671641791044777</v>
      </c>
      <c r="K37" s="37">
        <f t="shared" si="1"/>
        <v>0.89552238805970152</v>
      </c>
      <c r="L37" s="37">
        <f t="shared" si="2"/>
        <v>0.35820895522388058</v>
      </c>
      <c r="M37" s="39">
        <f t="shared" si="5"/>
        <v>43</v>
      </c>
      <c r="N37" s="37">
        <f t="shared" si="6"/>
        <v>0.64179104477611937</v>
      </c>
      <c r="O37" s="35" t="s">
        <v>39</v>
      </c>
    </row>
    <row r="38" spans="1:15">
      <c r="A38" s="35" t="s">
        <v>11</v>
      </c>
      <c r="B38" s="35" t="s">
        <v>90</v>
      </c>
      <c r="C38" s="35" t="s">
        <v>91</v>
      </c>
      <c r="D38" s="35" t="s">
        <v>92</v>
      </c>
      <c r="E38" s="35" t="s">
        <v>90</v>
      </c>
      <c r="F38" s="35">
        <v>67</v>
      </c>
      <c r="G38" s="35">
        <v>14</v>
      </c>
      <c r="H38" s="35">
        <v>2</v>
      </c>
      <c r="I38" s="35">
        <v>58</v>
      </c>
      <c r="J38" s="36">
        <f>H37/F37</f>
        <v>0.65671641791044777</v>
      </c>
      <c r="K38" s="37">
        <f>G37/F37</f>
        <v>0.89552238805970152</v>
      </c>
      <c r="L38" s="37">
        <f>I37/F37</f>
        <v>0.35820895522388058</v>
      </c>
      <c r="M38" s="39">
        <f t="shared" si="5"/>
        <v>9</v>
      </c>
      <c r="N38" s="37">
        <f t="shared" si="6"/>
        <v>0.13432835820895522</v>
      </c>
      <c r="O38" s="35" t="s">
        <v>39</v>
      </c>
    </row>
    <row r="39" spans="1:15">
      <c r="A39" s="35" t="s">
        <v>11</v>
      </c>
      <c r="B39" s="35" t="s">
        <v>117</v>
      </c>
      <c r="C39" s="35" t="s">
        <v>118</v>
      </c>
      <c r="D39" s="35" t="s">
        <v>119</v>
      </c>
      <c r="E39" s="35" t="s">
        <v>117</v>
      </c>
      <c r="F39" s="35">
        <v>62</v>
      </c>
      <c r="G39" s="35">
        <v>62</v>
      </c>
      <c r="H39" s="35">
        <v>53</v>
      </c>
      <c r="I39" s="35">
        <v>5</v>
      </c>
      <c r="J39" s="36">
        <f t="shared" ref="J39:J56" si="7">H39/F39</f>
        <v>0.85483870967741937</v>
      </c>
      <c r="K39" s="37">
        <f t="shared" ref="K39:K56" si="8">G39/F39</f>
        <v>1</v>
      </c>
      <c r="L39" s="37">
        <f t="shared" ref="L39:L56" si="9">I39/F39</f>
        <v>8.0645161290322578E-2</v>
      </c>
      <c r="M39" s="39">
        <f t="shared" si="5"/>
        <v>57</v>
      </c>
      <c r="N39" s="37">
        <f t="shared" si="6"/>
        <v>0.91935483870967738</v>
      </c>
      <c r="O39" s="35" t="s">
        <v>39</v>
      </c>
    </row>
    <row r="40" spans="1:15">
      <c r="B40" s="35" t="s">
        <v>162</v>
      </c>
      <c r="C40" s="35" t="s">
        <v>163</v>
      </c>
      <c r="D40" s="35" t="s">
        <v>164</v>
      </c>
      <c r="E40" s="35" t="s">
        <v>162</v>
      </c>
      <c r="F40" s="35">
        <v>55</v>
      </c>
      <c r="G40" s="35">
        <v>28</v>
      </c>
      <c r="H40" s="35">
        <v>0</v>
      </c>
      <c r="I40" s="35">
        <v>54</v>
      </c>
      <c r="J40" s="36">
        <f t="shared" si="7"/>
        <v>0</v>
      </c>
      <c r="K40" s="37">
        <f t="shared" si="8"/>
        <v>0.50909090909090904</v>
      </c>
      <c r="L40" s="37">
        <f t="shared" si="9"/>
        <v>0.98181818181818181</v>
      </c>
      <c r="M40" s="39">
        <f t="shared" si="5"/>
        <v>1</v>
      </c>
      <c r="N40" s="37">
        <f t="shared" si="6"/>
        <v>1.8181818181818181E-2</v>
      </c>
      <c r="O40" s="35" t="s">
        <v>39</v>
      </c>
    </row>
    <row r="41" spans="1:15">
      <c r="A41" s="35" t="s">
        <v>11</v>
      </c>
      <c r="B41" s="35" t="s">
        <v>165</v>
      </c>
      <c r="C41" s="35" t="s">
        <v>166</v>
      </c>
      <c r="D41" s="35" t="s">
        <v>167</v>
      </c>
      <c r="E41" s="35" t="s">
        <v>165</v>
      </c>
      <c r="F41" s="35">
        <v>58</v>
      </c>
      <c r="G41" s="35">
        <v>58</v>
      </c>
      <c r="H41" s="35">
        <v>27</v>
      </c>
      <c r="I41" s="35">
        <v>4</v>
      </c>
      <c r="J41" s="36">
        <f t="shared" si="7"/>
        <v>0.46551724137931033</v>
      </c>
      <c r="K41" s="37">
        <f t="shared" si="8"/>
        <v>1</v>
      </c>
      <c r="L41" s="37">
        <f t="shared" si="9"/>
        <v>6.8965517241379309E-2</v>
      </c>
      <c r="M41" s="39">
        <f t="shared" si="5"/>
        <v>54</v>
      </c>
      <c r="N41" s="37">
        <f t="shared" si="6"/>
        <v>0.93103448275862066</v>
      </c>
      <c r="O41" s="35" t="s">
        <v>39</v>
      </c>
    </row>
    <row r="42" spans="1:15">
      <c r="A42" s="35" t="s">
        <v>11</v>
      </c>
      <c r="B42" s="35" t="s">
        <v>171</v>
      </c>
      <c r="C42" s="35" t="s">
        <v>172</v>
      </c>
      <c r="D42" s="35" t="s">
        <v>173</v>
      </c>
      <c r="E42" s="35" t="s">
        <v>171</v>
      </c>
      <c r="F42" s="35">
        <v>61</v>
      </c>
      <c r="G42" s="35">
        <v>52</v>
      </c>
      <c r="H42" s="35">
        <v>21</v>
      </c>
      <c r="I42" s="35">
        <v>31</v>
      </c>
      <c r="J42" s="36">
        <f t="shared" si="7"/>
        <v>0.34426229508196721</v>
      </c>
      <c r="K42" s="37">
        <f t="shared" si="8"/>
        <v>0.85245901639344257</v>
      </c>
      <c r="L42" s="37">
        <f t="shared" si="9"/>
        <v>0.50819672131147542</v>
      </c>
      <c r="M42" s="39">
        <f t="shared" si="5"/>
        <v>30</v>
      </c>
      <c r="N42" s="37">
        <f t="shared" si="6"/>
        <v>0.49180327868852458</v>
      </c>
      <c r="O42" s="35" t="s">
        <v>39</v>
      </c>
    </row>
    <row r="43" spans="1:15">
      <c r="A43" s="35" t="s">
        <v>11</v>
      </c>
      <c r="B43" s="35" t="s">
        <v>177</v>
      </c>
      <c r="C43" s="35" t="s">
        <v>178</v>
      </c>
      <c r="D43" s="35" t="s">
        <v>179</v>
      </c>
      <c r="E43" s="35" t="s">
        <v>177</v>
      </c>
      <c r="F43" s="35">
        <v>55</v>
      </c>
      <c r="G43" s="35">
        <v>50</v>
      </c>
      <c r="H43" s="35">
        <v>29</v>
      </c>
      <c r="I43" s="35">
        <v>24</v>
      </c>
      <c r="J43" s="36">
        <f t="shared" si="7"/>
        <v>0.52727272727272723</v>
      </c>
      <c r="K43" s="37">
        <f t="shared" si="8"/>
        <v>0.90909090909090906</v>
      </c>
      <c r="L43" s="37">
        <f t="shared" si="9"/>
        <v>0.43636363636363634</v>
      </c>
      <c r="M43" s="39">
        <f t="shared" si="5"/>
        <v>31</v>
      </c>
      <c r="N43" s="37">
        <f t="shared" si="6"/>
        <v>0.5636363636363636</v>
      </c>
      <c r="O43" s="35" t="s">
        <v>39</v>
      </c>
    </row>
    <row r="44" spans="1:15">
      <c r="A44" s="35" t="s">
        <v>11</v>
      </c>
      <c r="B44" s="35" t="s">
        <v>180</v>
      </c>
      <c r="C44" s="35" t="s">
        <v>181</v>
      </c>
      <c r="D44" s="35" t="s">
        <v>182</v>
      </c>
      <c r="E44" s="35" t="s">
        <v>180</v>
      </c>
      <c r="F44" s="35">
        <v>63</v>
      </c>
      <c r="G44" s="35">
        <v>56</v>
      </c>
      <c r="H44" s="35">
        <v>3</v>
      </c>
      <c r="I44" s="35">
        <v>55</v>
      </c>
      <c r="J44" s="36">
        <f t="shared" si="7"/>
        <v>4.7619047619047616E-2</v>
      </c>
      <c r="K44" s="37">
        <f t="shared" si="8"/>
        <v>0.88888888888888884</v>
      </c>
      <c r="L44" s="37">
        <f t="shared" si="9"/>
        <v>0.87301587301587302</v>
      </c>
      <c r="M44" s="39">
        <f t="shared" si="5"/>
        <v>8</v>
      </c>
      <c r="N44" s="37">
        <f t="shared" si="6"/>
        <v>0.12698412698412698</v>
      </c>
      <c r="O44" s="35" t="s">
        <v>39</v>
      </c>
    </row>
    <row r="45" spans="1:15">
      <c r="A45" s="35" t="s">
        <v>11</v>
      </c>
      <c r="B45" s="35" t="s">
        <v>183</v>
      </c>
      <c r="C45" s="35" t="s">
        <v>184</v>
      </c>
      <c r="D45" s="35" t="s">
        <v>185</v>
      </c>
      <c r="E45" s="35" t="s">
        <v>183</v>
      </c>
      <c r="F45" s="35">
        <v>69</v>
      </c>
      <c r="G45" s="35">
        <v>55</v>
      </c>
      <c r="H45" s="35">
        <v>0</v>
      </c>
      <c r="I45" s="35">
        <v>69</v>
      </c>
      <c r="J45" s="36">
        <f t="shared" si="7"/>
        <v>0</v>
      </c>
      <c r="K45" s="37">
        <f t="shared" si="8"/>
        <v>0.79710144927536231</v>
      </c>
      <c r="L45" s="37">
        <f t="shared" si="9"/>
        <v>1</v>
      </c>
      <c r="M45" s="39">
        <f t="shared" si="5"/>
        <v>0</v>
      </c>
      <c r="N45" s="37">
        <f t="shared" si="6"/>
        <v>0</v>
      </c>
      <c r="O45" s="35" t="s">
        <v>39</v>
      </c>
    </row>
    <row r="46" spans="1:15">
      <c r="A46" s="35" t="s">
        <v>11</v>
      </c>
      <c r="B46" s="35" t="s">
        <v>56</v>
      </c>
      <c r="C46" s="35" t="s">
        <v>57</v>
      </c>
      <c r="D46" s="35" t="s">
        <v>58</v>
      </c>
      <c r="E46" s="35" t="s">
        <v>56</v>
      </c>
      <c r="F46" s="35">
        <v>62</v>
      </c>
      <c r="G46" s="35">
        <v>60</v>
      </c>
      <c r="H46" s="35">
        <v>32</v>
      </c>
      <c r="I46" s="35">
        <v>15</v>
      </c>
      <c r="J46" s="36">
        <f t="shared" si="7"/>
        <v>0.5161290322580645</v>
      </c>
      <c r="K46" s="37">
        <f t="shared" si="8"/>
        <v>0.967741935483871</v>
      </c>
      <c r="L46" s="37">
        <f t="shared" si="9"/>
        <v>0.24193548387096775</v>
      </c>
      <c r="M46" s="39">
        <f t="shared" si="5"/>
        <v>47</v>
      </c>
      <c r="N46" s="37">
        <f t="shared" si="6"/>
        <v>0.75806451612903225</v>
      </c>
      <c r="O46" s="35" t="s">
        <v>59</v>
      </c>
    </row>
    <row r="47" spans="1:15">
      <c r="A47" s="35" t="s">
        <v>11</v>
      </c>
      <c r="B47" s="35" t="s">
        <v>93</v>
      </c>
      <c r="C47" s="35" t="s">
        <v>94</v>
      </c>
      <c r="D47" s="35" t="s">
        <v>95</v>
      </c>
      <c r="E47" s="35" t="s">
        <v>93</v>
      </c>
      <c r="F47" s="35">
        <v>51</v>
      </c>
      <c r="G47" s="35">
        <v>49</v>
      </c>
      <c r="H47" s="35">
        <v>37</v>
      </c>
      <c r="I47" s="35">
        <v>12</v>
      </c>
      <c r="J47" s="36">
        <f t="shared" si="7"/>
        <v>0.72549019607843135</v>
      </c>
      <c r="K47" s="37">
        <f t="shared" si="8"/>
        <v>0.96078431372549022</v>
      </c>
      <c r="L47" s="37">
        <f t="shared" si="9"/>
        <v>0.23529411764705882</v>
      </c>
      <c r="M47" s="39">
        <f t="shared" si="5"/>
        <v>39</v>
      </c>
      <c r="N47" s="37">
        <f t="shared" si="6"/>
        <v>0.76470588235294112</v>
      </c>
      <c r="O47" s="35" t="s">
        <v>59</v>
      </c>
    </row>
    <row r="48" spans="1:15">
      <c r="A48" s="35" t="s">
        <v>11</v>
      </c>
      <c r="B48" s="35" t="s">
        <v>102</v>
      </c>
      <c r="C48" s="35" t="s">
        <v>103</v>
      </c>
      <c r="D48" s="35" t="s">
        <v>77</v>
      </c>
      <c r="E48" s="35" t="s">
        <v>102</v>
      </c>
      <c r="F48" s="35">
        <v>77</v>
      </c>
      <c r="G48" s="35">
        <v>66</v>
      </c>
      <c r="H48" s="35">
        <v>35</v>
      </c>
      <c r="I48" s="35">
        <v>41</v>
      </c>
      <c r="J48" s="36">
        <f t="shared" si="7"/>
        <v>0.45454545454545453</v>
      </c>
      <c r="K48" s="37">
        <f t="shared" si="8"/>
        <v>0.8571428571428571</v>
      </c>
      <c r="L48" s="37">
        <f t="shared" si="9"/>
        <v>0.53246753246753242</v>
      </c>
      <c r="M48" s="39">
        <f t="shared" si="5"/>
        <v>36</v>
      </c>
      <c r="N48" s="37">
        <f t="shared" si="6"/>
        <v>0.46753246753246752</v>
      </c>
      <c r="O48" s="35" t="s">
        <v>59</v>
      </c>
    </row>
    <row r="49" spans="1:15">
      <c r="A49" s="35" t="s">
        <v>11</v>
      </c>
      <c r="B49" s="35" t="s">
        <v>120</v>
      </c>
      <c r="C49" s="35" t="s">
        <v>121</v>
      </c>
      <c r="D49" s="35" t="s">
        <v>122</v>
      </c>
      <c r="E49" s="35" t="s">
        <v>120</v>
      </c>
      <c r="F49" s="35">
        <v>50</v>
      </c>
      <c r="G49" s="35">
        <v>50</v>
      </c>
      <c r="H49" s="35">
        <v>0</v>
      </c>
      <c r="I49" s="35">
        <v>46</v>
      </c>
      <c r="J49" s="36">
        <f t="shared" si="7"/>
        <v>0</v>
      </c>
      <c r="K49" s="37">
        <f t="shared" si="8"/>
        <v>1</v>
      </c>
      <c r="L49" s="37">
        <f t="shared" si="9"/>
        <v>0.92</v>
      </c>
      <c r="M49" s="39">
        <f t="shared" si="5"/>
        <v>4</v>
      </c>
      <c r="N49" s="37">
        <f t="shared" si="6"/>
        <v>0.08</v>
      </c>
      <c r="O49" s="35" t="s">
        <v>59</v>
      </c>
    </row>
    <row r="50" spans="1:15">
      <c r="A50" s="35" t="s">
        <v>11</v>
      </c>
      <c r="B50" s="35" t="s">
        <v>29</v>
      </c>
      <c r="C50" s="35" t="s">
        <v>30</v>
      </c>
      <c r="D50" s="35" t="s">
        <v>31</v>
      </c>
      <c r="E50" s="35" t="s">
        <v>29</v>
      </c>
      <c r="F50" s="35">
        <v>70</v>
      </c>
      <c r="G50" s="35">
        <v>69</v>
      </c>
      <c r="H50" s="35">
        <v>23</v>
      </c>
      <c r="I50" s="35">
        <v>39</v>
      </c>
      <c r="J50" s="36">
        <f t="shared" si="7"/>
        <v>0.32857142857142857</v>
      </c>
      <c r="K50" s="37">
        <f t="shared" si="8"/>
        <v>0.98571428571428577</v>
      </c>
      <c r="L50" s="37">
        <f t="shared" si="9"/>
        <v>0.55714285714285716</v>
      </c>
      <c r="M50" s="39">
        <f t="shared" si="5"/>
        <v>31</v>
      </c>
      <c r="N50" s="37">
        <f t="shared" si="6"/>
        <v>0.44285714285714284</v>
      </c>
      <c r="O50" s="35" t="s">
        <v>32</v>
      </c>
    </row>
    <row r="51" spans="1:15">
      <c r="A51" s="35" t="s">
        <v>11</v>
      </c>
      <c r="B51" s="35" t="s">
        <v>53</v>
      </c>
      <c r="C51" s="35" t="s">
        <v>54</v>
      </c>
      <c r="D51" s="35" t="s">
        <v>55</v>
      </c>
      <c r="E51" s="35" t="s">
        <v>53</v>
      </c>
      <c r="F51" s="35">
        <v>61</v>
      </c>
      <c r="G51" s="35">
        <v>56</v>
      </c>
      <c r="H51" s="35">
        <v>42</v>
      </c>
      <c r="I51" s="35">
        <v>9</v>
      </c>
      <c r="J51" s="36">
        <f t="shared" si="7"/>
        <v>0.68852459016393441</v>
      </c>
      <c r="K51" s="37">
        <f t="shared" si="8"/>
        <v>0.91803278688524592</v>
      </c>
      <c r="L51" s="37">
        <f t="shared" si="9"/>
        <v>0.14754098360655737</v>
      </c>
      <c r="M51" s="39">
        <f t="shared" si="5"/>
        <v>52</v>
      </c>
      <c r="N51" s="37">
        <f t="shared" si="6"/>
        <v>0.85245901639344257</v>
      </c>
      <c r="O51" s="35" t="s">
        <v>32</v>
      </c>
    </row>
    <row r="52" spans="1:15">
      <c r="A52" s="35" t="s">
        <v>11</v>
      </c>
      <c r="B52" s="35" t="s">
        <v>84</v>
      </c>
      <c r="C52" s="35" t="s">
        <v>85</v>
      </c>
      <c r="D52" s="35" t="s">
        <v>86</v>
      </c>
      <c r="E52" s="35" t="s">
        <v>84</v>
      </c>
      <c r="F52" s="35">
        <v>56</v>
      </c>
      <c r="G52" s="35">
        <v>52</v>
      </c>
      <c r="H52" s="35">
        <v>27</v>
      </c>
      <c r="I52" s="35">
        <v>18</v>
      </c>
      <c r="J52" s="36">
        <f t="shared" si="7"/>
        <v>0.48214285714285715</v>
      </c>
      <c r="K52" s="37">
        <f t="shared" si="8"/>
        <v>0.9285714285714286</v>
      </c>
      <c r="L52" s="37">
        <f t="shared" si="9"/>
        <v>0.32142857142857145</v>
      </c>
      <c r="M52" s="39">
        <f t="shared" si="5"/>
        <v>38</v>
      </c>
      <c r="N52" s="37">
        <f t="shared" si="6"/>
        <v>0.6785714285714286</v>
      </c>
      <c r="O52" s="35" t="s">
        <v>32</v>
      </c>
    </row>
    <row r="53" spans="1:15">
      <c r="A53" s="35" t="s">
        <v>11</v>
      </c>
      <c r="B53" s="35" t="s">
        <v>25</v>
      </c>
      <c r="C53" s="35" t="s">
        <v>26</v>
      </c>
      <c r="D53" s="35" t="s">
        <v>27</v>
      </c>
      <c r="E53" s="35" t="s">
        <v>25</v>
      </c>
      <c r="F53" s="35">
        <v>76</v>
      </c>
      <c r="G53" s="35">
        <v>37</v>
      </c>
      <c r="H53" s="35">
        <v>8</v>
      </c>
      <c r="I53" s="35">
        <v>69</v>
      </c>
      <c r="J53" s="36">
        <f t="shared" si="7"/>
        <v>0.10526315789473684</v>
      </c>
      <c r="K53" s="37">
        <f t="shared" si="8"/>
        <v>0.48684210526315791</v>
      </c>
      <c r="L53" s="37">
        <f t="shared" si="9"/>
        <v>0.90789473684210531</v>
      </c>
      <c r="M53" s="39">
        <f t="shared" si="5"/>
        <v>7</v>
      </c>
      <c r="N53" s="37">
        <f t="shared" si="6"/>
        <v>9.2105263157894732E-2</v>
      </c>
      <c r="O53" s="35" t="s">
        <v>28</v>
      </c>
    </row>
    <row r="54" spans="1:15">
      <c r="A54" s="35" t="s">
        <v>11</v>
      </c>
      <c r="B54" s="35" t="s">
        <v>174</v>
      </c>
      <c r="C54" s="35" t="s">
        <v>175</v>
      </c>
      <c r="D54" s="35" t="s">
        <v>176</v>
      </c>
      <c r="E54" s="35" t="s">
        <v>174</v>
      </c>
      <c r="F54" s="35">
        <v>53</v>
      </c>
      <c r="G54" s="35">
        <v>49</v>
      </c>
      <c r="H54" s="35">
        <v>2</v>
      </c>
      <c r="I54" s="35">
        <v>49</v>
      </c>
      <c r="J54" s="36">
        <f t="shared" si="7"/>
        <v>3.7735849056603772E-2</v>
      </c>
      <c r="K54" s="37">
        <f t="shared" si="8"/>
        <v>0.92452830188679247</v>
      </c>
      <c r="L54" s="37">
        <f t="shared" si="9"/>
        <v>0.92452830188679247</v>
      </c>
      <c r="M54" s="39">
        <f t="shared" si="5"/>
        <v>4</v>
      </c>
      <c r="N54" s="37">
        <f t="shared" si="6"/>
        <v>7.5471698113207544E-2</v>
      </c>
      <c r="O54" s="35" t="s">
        <v>28</v>
      </c>
    </row>
    <row r="55" spans="1:15">
      <c r="B55" s="35" t="s">
        <v>107</v>
      </c>
      <c r="C55" s="35" t="s">
        <v>134</v>
      </c>
      <c r="D55" s="35" t="s">
        <v>135</v>
      </c>
      <c r="E55" s="35" t="s">
        <v>104</v>
      </c>
      <c r="F55" s="35">
        <v>58</v>
      </c>
      <c r="G55" s="35">
        <v>28</v>
      </c>
      <c r="H55" s="35">
        <v>0</v>
      </c>
      <c r="I55" s="35">
        <v>58</v>
      </c>
      <c r="J55" s="36">
        <f t="shared" si="7"/>
        <v>0</v>
      </c>
      <c r="K55" s="37">
        <f t="shared" si="8"/>
        <v>0.48275862068965519</v>
      </c>
      <c r="L55" s="37">
        <f t="shared" si="9"/>
        <v>1</v>
      </c>
      <c r="M55" s="39">
        <f t="shared" si="5"/>
        <v>0</v>
      </c>
      <c r="N55" s="37">
        <f t="shared" si="6"/>
        <v>0</v>
      </c>
      <c r="O55" s="35" t="s">
        <v>136</v>
      </c>
    </row>
    <row r="56" spans="1:15">
      <c r="A56" s="35" t="s">
        <v>11</v>
      </c>
      <c r="B56" s="35" t="s">
        <v>12</v>
      </c>
      <c r="C56" s="35" t="s">
        <v>13</v>
      </c>
      <c r="D56" s="35" t="s">
        <v>14</v>
      </c>
      <c r="E56" s="35" t="s">
        <v>12</v>
      </c>
      <c r="F56" s="35">
        <v>54</v>
      </c>
      <c r="G56" s="35">
        <v>21</v>
      </c>
      <c r="H56" s="35">
        <v>0</v>
      </c>
      <c r="I56" s="35">
        <v>54</v>
      </c>
      <c r="J56" s="36">
        <f t="shared" si="7"/>
        <v>0</v>
      </c>
      <c r="K56" s="37">
        <f t="shared" si="8"/>
        <v>0.3888888888888889</v>
      </c>
      <c r="L56" s="37">
        <f t="shared" si="9"/>
        <v>1</v>
      </c>
      <c r="M56" s="39">
        <f t="shared" si="5"/>
        <v>0</v>
      </c>
      <c r="N56" s="37">
        <f t="shared" si="6"/>
        <v>0</v>
      </c>
      <c r="O56" s="35" t="s">
        <v>14</v>
      </c>
    </row>
  </sheetData>
  <sortState xmlns:xlrd2="http://schemas.microsoft.com/office/spreadsheetml/2017/richdata2" ref="A2:O56">
    <sortCondition ref="O2:O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6A61-A3FC-7A47-B4A5-0B85F3CA861C}">
  <dimension ref="A1:U56"/>
  <sheetViews>
    <sheetView tabSelected="1" zoomScale="109" zoomScaleNormal="109" workbookViewId="0">
      <pane ySplit="1" topLeftCell="A20" activePane="bottomLeft" state="frozen"/>
      <selection pane="bottomLeft" activeCell="H28" sqref="H28"/>
    </sheetView>
  </sheetViews>
  <sheetFormatPr baseColWidth="10" defaultRowHeight="16"/>
  <cols>
    <col min="1" max="1" width="15" style="35" customWidth="1"/>
    <col min="2" max="3" width="10.7109375" style="35"/>
    <col min="4" max="5" width="17" style="35" customWidth="1"/>
    <col min="6" max="6" width="11.28515625" style="35" customWidth="1"/>
    <col min="7" max="7" width="17.42578125" style="35" customWidth="1"/>
    <col min="8" max="8" width="11" style="35" customWidth="1"/>
    <col min="9" max="9" width="8.85546875" style="35" customWidth="1"/>
    <col min="10" max="18" width="9.28515625" style="35" customWidth="1"/>
    <col min="19" max="16384" width="10.7109375" style="35"/>
  </cols>
  <sheetData>
    <row r="1" spans="1:21">
      <c r="A1" s="34" t="s">
        <v>2</v>
      </c>
      <c r="B1" s="34" t="s">
        <v>3</v>
      </c>
      <c r="C1" s="34" t="s">
        <v>1</v>
      </c>
      <c r="D1" s="34" t="s">
        <v>10</v>
      </c>
      <c r="E1" s="34" t="s">
        <v>1133</v>
      </c>
      <c r="F1" s="34" t="s">
        <v>1114</v>
      </c>
      <c r="G1" s="34" t="s">
        <v>1118</v>
      </c>
      <c r="H1" s="34" t="s">
        <v>1119</v>
      </c>
      <c r="I1" s="34" t="s">
        <v>1110</v>
      </c>
      <c r="J1" s="34" t="s">
        <v>245</v>
      </c>
      <c r="K1" s="34" t="s">
        <v>244</v>
      </c>
      <c r="L1" s="34" t="s">
        <v>246</v>
      </c>
      <c r="M1" s="34" t="s">
        <v>1122</v>
      </c>
      <c r="N1" s="34" t="s">
        <v>247</v>
      </c>
      <c r="O1" s="34" t="s">
        <v>248</v>
      </c>
      <c r="P1" s="34" t="s">
        <v>249</v>
      </c>
      <c r="Q1" s="34" t="s">
        <v>250</v>
      </c>
      <c r="R1" s="34" t="s">
        <v>1123</v>
      </c>
      <c r="S1" s="34" t="s">
        <v>1134</v>
      </c>
      <c r="T1" s="34" t="s">
        <v>1135</v>
      </c>
      <c r="U1" s="34" t="s">
        <v>1136</v>
      </c>
    </row>
    <row r="2" spans="1:21">
      <c r="A2" s="35" t="s">
        <v>47</v>
      </c>
      <c r="B2" s="35" t="s">
        <v>48</v>
      </c>
      <c r="C2" s="35" t="s">
        <v>46</v>
      </c>
      <c r="D2" s="35" t="s">
        <v>1124</v>
      </c>
      <c r="E2" s="35" t="s">
        <v>1124</v>
      </c>
      <c r="G2" s="35">
        <v>0.18160000000000001</v>
      </c>
      <c r="H2" s="35" t="s">
        <v>1112</v>
      </c>
      <c r="I2" s="35">
        <v>21</v>
      </c>
      <c r="J2" s="55">
        <v>0.26923076923076922</v>
      </c>
      <c r="K2" s="55">
        <v>0.36</v>
      </c>
      <c r="L2" s="55">
        <v>0.80769230769230771</v>
      </c>
      <c r="M2" s="55">
        <v>0.40384615384615385</v>
      </c>
      <c r="N2" s="55">
        <v>0.46</v>
      </c>
      <c r="O2" s="55">
        <v>0.59615384615384615</v>
      </c>
      <c r="P2" s="56">
        <f t="shared" ref="P2:P32" si="0">AVERAGE(J2:K2)</f>
        <v>0.31461538461538463</v>
      </c>
      <c r="Q2" s="56">
        <f t="shared" ref="Q2:Q32" si="1">AVERAGE(L2:M2)</f>
        <v>0.60576923076923084</v>
      </c>
      <c r="R2" s="56">
        <f t="shared" ref="R2:R32" si="2">AVERAGE(M2:N2)</f>
        <v>0.43192307692307697</v>
      </c>
      <c r="S2" s="35">
        <v>0.56292114000000004</v>
      </c>
      <c r="T2" s="35">
        <v>0.58454254903073199</v>
      </c>
      <c r="U2" s="35">
        <v>0.57373184451536607</v>
      </c>
    </row>
    <row r="3" spans="1:21">
      <c r="A3" s="35" t="s">
        <v>79</v>
      </c>
      <c r="B3" s="35" t="s">
        <v>80</v>
      </c>
      <c r="C3" s="35" t="s">
        <v>78</v>
      </c>
      <c r="D3" s="35" t="s">
        <v>1124</v>
      </c>
      <c r="E3" s="35" t="s">
        <v>1124</v>
      </c>
      <c r="F3" s="35" t="s">
        <v>1117</v>
      </c>
      <c r="G3" s="35">
        <v>0.82740000000000002</v>
      </c>
      <c r="H3" s="35" t="s">
        <v>1120</v>
      </c>
      <c r="J3" s="55">
        <v>5.5555555555555552E-2</v>
      </c>
      <c r="K3" s="55">
        <v>0.11538461538461539</v>
      </c>
      <c r="L3" s="55">
        <v>0.48148148148148145</v>
      </c>
      <c r="M3" s="55">
        <v>7.407407407407407E-2</v>
      </c>
      <c r="N3" s="55">
        <v>0.26923076923076922</v>
      </c>
      <c r="O3" s="55">
        <v>0.92592592592592593</v>
      </c>
      <c r="P3" s="56">
        <f t="shared" si="0"/>
        <v>8.5470085470085472E-2</v>
      </c>
      <c r="Q3" s="56">
        <f t="shared" si="1"/>
        <v>0.27777777777777779</v>
      </c>
      <c r="R3" s="56">
        <f t="shared" si="2"/>
        <v>0.17165242165242164</v>
      </c>
      <c r="S3" s="35">
        <v>0.42676012000000002</v>
      </c>
      <c r="T3" s="35">
        <v>0.14587951326606799</v>
      </c>
      <c r="U3" s="35">
        <v>0.28631981663303402</v>
      </c>
    </row>
    <row r="4" spans="1:21">
      <c r="A4" s="35" t="s">
        <v>109</v>
      </c>
      <c r="B4" s="35" t="s">
        <v>110</v>
      </c>
      <c r="C4" s="35" t="s">
        <v>108</v>
      </c>
      <c r="D4" s="35" t="s">
        <v>1124</v>
      </c>
      <c r="E4" s="35" t="s">
        <v>1124</v>
      </c>
      <c r="G4" s="35">
        <v>0.36699999999999999</v>
      </c>
      <c r="H4" s="35" t="s">
        <v>1121</v>
      </c>
      <c r="I4" s="35">
        <v>40.5</v>
      </c>
      <c r="J4" s="55">
        <v>0.53333333333333333</v>
      </c>
      <c r="K4" s="55">
        <v>0.58823529411764708</v>
      </c>
      <c r="L4" s="55">
        <v>0.73333333333333328</v>
      </c>
      <c r="M4" s="55">
        <v>0.55000000000000004</v>
      </c>
      <c r="N4" s="55">
        <v>0.50980392156862742</v>
      </c>
      <c r="O4" s="55">
        <v>0.45</v>
      </c>
      <c r="P4" s="56">
        <f t="shared" si="0"/>
        <v>0.5607843137254902</v>
      </c>
      <c r="Q4" s="56">
        <f t="shared" si="1"/>
        <v>0.64166666666666661</v>
      </c>
      <c r="R4" s="56">
        <f t="shared" si="2"/>
        <v>0.52990196078431373</v>
      </c>
      <c r="S4" s="35">
        <v>0.52685190000000004</v>
      </c>
      <c r="T4" s="35">
        <v>0.45628892150346201</v>
      </c>
      <c r="U4" s="35">
        <v>0.49157041075173102</v>
      </c>
    </row>
    <row r="5" spans="1:21">
      <c r="A5" s="35" t="s">
        <v>141</v>
      </c>
      <c r="B5" s="35" t="s">
        <v>142</v>
      </c>
      <c r="C5" s="35" t="s">
        <v>140</v>
      </c>
      <c r="D5" s="35" t="s">
        <v>1124</v>
      </c>
      <c r="E5" s="35" t="s">
        <v>1124</v>
      </c>
      <c r="G5" s="35">
        <v>0.90710000000000002</v>
      </c>
      <c r="H5" s="35" t="s">
        <v>1120</v>
      </c>
      <c r="J5" s="55">
        <v>0</v>
      </c>
      <c r="K5" s="55">
        <v>0</v>
      </c>
      <c r="L5" s="55">
        <v>0.70491803278688525</v>
      </c>
      <c r="M5" s="55">
        <v>4.9180327868852458E-2</v>
      </c>
      <c r="N5" s="55">
        <v>0.16363636363636364</v>
      </c>
      <c r="O5" s="55">
        <v>0.95081967213114749</v>
      </c>
      <c r="P5" s="56">
        <f t="shared" si="0"/>
        <v>0</v>
      </c>
      <c r="Q5" s="56">
        <f t="shared" si="1"/>
        <v>0.37704918032786883</v>
      </c>
      <c r="R5" s="56">
        <f t="shared" si="2"/>
        <v>0.10640834575260805</v>
      </c>
      <c r="S5" s="35">
        <v>0.46787485000000001</v>
      </c>
      <c r="T5" s="35">
        <v>0.17225620771280101</v>
      </c>
      <c r="U5" s="35">
        <v>0.32006552885640049</v>
      </c>
    </row>
    <row r="6" spans="1:21">
      <c r="A6" s="35" t="s">
        <v>121</v>
      </c>
      <c r="B6" s="35" t="s">
        <v>122</v>
      </c>
      <c r="C6" s="35" t="s">
        <v>120</v>
      </c>
      <c r="D6" s="35" t="s">
        <v>1127</v>
      </c>
      <c r="E6" s="35" t="s">
        <v>1124</v>
      </c>
      <c r="F6" s="35" t="s">
        <v>1117</v>
      </c>
      <c r="G6" s="35">
        <v>0.57540000000000002</v>
      </c>
      <c r="H6" s="35" t="s">
        <v>1120</v>
      </c>
      <c r="I6" s="35">
        <v>24</v>
      </c>
      <c r="J6" s="55">
        <v>0</v>
      </c>
      <c r="K6" s="55">
        <v>0</v>
      </c>
      <c r="L6" s="55">
        <v>1</v>
      </c>
      <c r="M6" s="55">
        <v>0.08</v>
      </c>
      <c r="N6" s="55">
        <v>0.25862068965517243</v>
      </c>
      <c r="O6" s="55">
        <v>0.92</v>
      </c>
      <c r="P6" s="56">
        <f t="shared" si="0"/>
        <v>0</v>
      </c>
      <c r="Q6" s="56">
        <f t="shared" si="1"/>
        <v>0.54</v>
      </c>
      <c r="R6" s="56">
        <f t="shared" si="2"/>
        <v>0.16931034482758622</v>
      </c>
      <c r="S6" s="35">
        <v>0.46523341000000001</v>
      </c>
      <c r="T6" s="35">
        <v>0.51861264480509395</v>
      </c>
      <c r="U6" s="35">
        <v>0.49192302740254701</v>
      </c>
    </row>
    <row r="7" spans="1:21">
      <c r="A7" s="35" t="s">
        <v>134</v>
      </c>
      <c r="B7" s="35" t="s">
        <v>135</v>
      </c>
      <c r="C7" s="35" t="s">
        <v>104</v>
      </c>
      <c r="D7" s="35" t="s">
        <v>1112</v>
      </c>
      <c r="E7" s="35" t="s">
        <v>1112</v>
      </c>
      <c r="G7" s="35">
        <v>0.1464</v>
      </c>
      <c r="H7" s="35" t="s">
        <v>1112</v>
      </c>
      <c r="J7" s="55">
        <v>0</v>
      </c>
      <c r="K7" s="55">
        <v>0</v>
      </c>
      <c r="L7" s="55">
        <v>0.48275862068965519</v>
      </c>
      <c r="M7" s="55">
        <v>0</v>
      </c>
      <c r="N7" s="55">
        <v>0.14754098360655737</v>
      </c>
      <c r="O7" s="55">
        <v>1</v>
      </c>
      <c r="P7" s="56">
        <f t="shared" si="0"/>
        <v>0</v>
      </c>
      <c r="Q7" s="56">
        <f t="shared" si="1"/>
        <v>0.2413793103448276</v>
      </c>
      <c r="R7" s="56">
        <f t="shared" si="2"/>
        <v>7.3770491803278687E-2</v>
      </c>
      <c r="S7" s="35">
        <v>0.59105319999999995</v>
      </c>
      <c r="T7" s="35">
        <v>9.1285816969924202E-2</v>
      </c>
      <c r="U7" s="35">
        <v>0.34116950848496208</v>
      </c>
    </row>
    <row r="8" spans="1:21">
      <c r="A8" s="35" t="s">
        <v>61</v>
      </c>
      <c r="B8" s="35" t="s">
        <v>62</v>
      </c>
      <c r="C8" s="35" t="s">
        <v>60</v>
      </c>
      <c r="D8" s="35" t="s">
        <v>1113</v>
      </c>
      <c r="E8" s="35" t="s">
        <v>1113</v>
      </c>
      <c r="G8" s="35">
        <v>0.14030000000000001</v>
      </c>
      <c r="H8" s="35" t="s">
        <v>1112</v>
      </c>
      <c r="J8" s="55">
        <v>4.1095890410958902E-2</v>
      </c>
      <c r="K8" s="55">
        <v>0</v>
      </c>
      <c r="L8" s="55">
        <v>0.90410958904109584</v>
      </c>
      <c r="M8" s="55">
        <v>5.4794520547945202E-2</v>
      </c>
      <c r="N8" s="55">
        <v>0.20370370370370369</v>
      </c>
      <c r="O8" s="55">
        <v>0.9452054794520548</v>
      </c>
      <c r="P8" s="56">
        <f t="shared" si="0"/>
        <v>2.0547945205479451E-2</v>
      </c>
      <c r="Q8" s="56">
        <f t="shared" si="1"/>
        <v>0.47945205479452052</v>
      </c>
      <c r="R8" s="56">
        <f t="shared" si="2"/>
        <v>0.12924911212582446</v>
      </c>
      <c r="S8" s="35">
        <v>0.28644132999999999</v>
      </c>
      <c r="T8" s="35">
        <v>0.43540293679664499</v>
      </c>
      <c r="U8" s="35">
        <v>0.36092213339832246</v>
      </c>
    </row>
    <row r="9" spans="1:21">
      <c r="A9" s="35" t="s">
        <v>67</v>
      </c>
      <c r="B9" s="35" t="s">
        <v>68</v>
      </c>
      <c r="C9" s="35" t="s">
        <v>66</v>
      </c>
      <c r="D9" s="35" t="s">
        <v>1113</v>
      </c>
      <c r="E9" s="35" t="s">
        <v>1113</v>
      </c>
      <c r="G9" s="35">
        <v>0.34289999999999998</v>
      </c>
      <c r="H9" s="35" t="s">
        <v>1121</v>
      </c>
      <c r="J9" s="55">
        <v>0</v>
      </c>
      <c r="K9" s="55">
        <v>0</v>
      </c>
      <c r="L9" s="55">
        <v>0.54098360655737709</v>
      </c>
      <c r="M9" s="55">
        <v>3.2786885245901641E-2</v>
      </c>
      <c r="N9" s="55">
        <v>5.2631578947368418E-2</v>
      </c>
      <c r="O9" s="55">
        <v>0.96721311475409832</v>
      </c>
      <c r="P9" s="56">
        <f t="shared" si="0"/>
        <v>0</v>
      </c>
      <c r="Q9" s="56">
        <f t="shared" si="1"/>
        <v>0.28688524590163939</v>
      </c>
      <c r="R9" s="56">
        <f t="shared" si="2"/>
        <v>4.2709232096635033E-2</v>
      </c>
      <c r="S9" s="35">
        <v>0.19098544000000001</v>
      </c>
      <c r="T9" s="35">
        <v>0.15516902036442401</v>
      </c>
      <c r="U9" s="35">
        <v>0.17307723018221199</v>
      </c>
    </row>
    <row r="10" spans="1:21">
      <c r="A10" s="35" t="s">
        <v>150</v>
      </c>
      <c r="B10" s="35" t="s">
        <v>151</v>
      </c>
      <c r="C10" s="35" t="s">
        <v>149</v>
      </c>
      <c r="D10" s="35" t="s">
        <v>1113</v>
      </c>
      <c r="E10" s="35" t="s">
        <v>1113</v>
      </c>
      <c r="G10" s="35">
        <v>0.19020000000000001</v>
      </c>
      <c r="H10" s="35" t="s">
        <v>1112</v>
      </c>
      <c r="J10" s="55">
        <v>0</v>
      </c>
      <c r="K10" s="55">
        <v>0</v>
      </c>
      <c r="L10" s="55">
        <v>0.25974025974025972</v>
      </c>
      <c r="M10" s="55">
        <v>5.1948051948051951E-2</v>
      </c>
      <c r="N10" s="55">
        <v>0</v>
      </c>
      <c r="O10" s="55">
        <v>0.94805194805194803</v>
      </c>
      <c r="P10" s="56">
        <f t="shared" si="0"/>
        <v>0</v>
      </c>
      <c r="Q10" s="56">
        <f t="shared" si="1"/>
        <v>0.15584415584415584</v>
      </c>
      <c r="R10" s="56">
        <f t="shared" si="2"/>
        <v>2.5974025974025976E-2</v>
      </c>
      <c r="S10" s="35">
        <v>0.28628247000000001</v>
      </c>
      <c r="T10" s="35">
        <v>0.51530207967994401</v>
      </c>
      <c r="U10" s="35">
        <v>0.40079227483997204</v>
      </c>
    </row>
    <row r="11" spans="1:21">
      <c r="A11" s="35" t="s">
        <v>26</v>
      </c>
      <c r="B11" s="35" t="s">
        <v>27</v>
      </c>
      <c r="C11" s="35" t="s">
        <v>25</v>
      </c>
      <c r="D11" s="35" t="s">
        <v>1113</v>
      </c>
      <c r="E11" s="35" t="s">
        <v>1113</v>
      </c>
      <c r="G11" s="35">
        <v>0.1726</v>
      </c>
      <c r="H11" s="35" t="s">
        <v>1112</v>
      </c>
      <c r="J11" s="55">
        <v>0.10526315789473684</v>
      </c>
      <c r="K11" s="55">
        <v>0</v>
      </c>
      <c r="L11" s="55">
        <v>0.48684210526315791</v>
      </c>
      <c r="M11" s="55">
        <v>9.2105263157894732E-2</v>
      </c>
      <c r="N11" s="55">
        <v>0.21818181818181817</v>
      </c>
      <c r="O11" s="55">
        <v>0.90789473684210531</v>
      </c>
      <c r="P11" s="56">
        <f t="shared" si="0"/>
        <v>5.2631578947368418E-2</v>
      </c>
      <c r="Q11" s="56">
        <f t="shared" si="1"/>
        <v>0.28947368421052633</v>
      </c>
      <c r="R11" s="56">
        <f t="shared" si="2"/>
        <v>0.15514354066985644</v>
      </c>
      <c r="S11" s="35">
        <v>0.43976892000000001</v>
      </c>
      <c r="T11" s="35">
        <v>0.60397014374929303</v>
      </c>
      <c r="U11" s="35">
        <v>0.52186953187464646</v>
      </c>
    </row>
    <row r="12" spans="1:21">
      <c r="A12" s="35" t="s">
        <v>175</v>
      </c>
      <c r="B12" s="35" t="s">
        <v>176</v>
      </c>
      <c r="C12" s="35" t="s">
        <v>174</v>
      </c>
      <c r="D12" s="35" t="s">
        <v>1113</v>
      </c>
      <c r="E12" s="35" t="s">
        <v>1113</v>
      </c>
      <c r="G12" s="35">
        <v>0.28920000000000001</v>
      </c>
      <c r="H12" s="35" t="s">
        <v>1112</v>
      </c>
      <c r="J12" s="55">
        <v>3.7735849056603772E-2</v>
      </c>
      <c r="K12" s="55">
        <v>0</v>
      </c>
      <c r="L12" s="55">
        <v>0.92452830188679247</v>
      </c>
      <c r="M12" s="55">
        <v>7.5471698113207544E-2</v>
      </c>
      <c r="N12" s="55">
        <v>9.8039215686274508E-2</v>
      </c>
      <c r="O12" s="55">
        <v>0.92452830188679247</v>
      </c>
      <c r="P12" s="56">
        <f t="shared" si="0"/>
        <v>1.8867924528301886E-2</v>
      </c>
      <c r="Q12" s="56">
        <f t="shared" si="1"/>
        <v>0.5</v>
      </c>
      <c r="R12" s="56">
        <f t="shared" si="2"/>
        <v>8.6755456899741026E-2</v>
      </c>
      <c r="S12" s="35">
        <v>0.26485175</v>
      </c>
      <c r="T12" s="35">
        <v>0.52733861880961497</v>
      </c>
      <c r="U12" s="35">
        <v>0.39609518440480751</v>
      </c>
    </row>
    <row r="13" spans="1:21">
      <c r="A13" s="35" t="s">
        <v>16</v>
      </c>
      <c r="B13" s="35" t="s">
        <v>17</v>
      </c>
      <c r="C13" s="35" t="s">
        <v>15</v>
      </c>
      <c r="D13" s="35" t="s">
        <v>1125</v>
      </c>
      <c r="E13" s="35" t="s">
        <v>1125</v>
      </c>
      <c r="G13" s="35">
        <v>0.94140000000000001</v>
      </c>
      <c r="H13" s="35" t="s">
        <v>1120</v>
      </c>
      <c r="I13" s="35">
        <v>0.41666666666666669</v>
      </c>
      <c r="J13" s="55">
        <v>0.74</v>
      </c>
      <c r="K13" s="55">
        <v>0.57999999999999996</v>
      </c>
      <c r="L13" s="55">
        <v>1</v>
      </c>
      <c r="M13" s="55">
        <v>0.9</v>
      </c>
      <c r="N13" s="55">
        <v>0.86</v>
      </c>
      <c r="O13" s="55">
        <v>0.1</v>
      </c>
      <c r="P13" s="56">
        <f t="shared" si="0"/>
        <v>0.65999999999999992</v>
      </c>
      <c r="Q13" s="56">
        <f t="shared" si="1"/>
        <v>0.95</v>
      </c>
      <c r="R13" s="56">
        <f t="shared" si="2"/>
        <v>0.88</v>
      </c>
      <c r="S13" s="35">
        <v>0.53513379000000005</v>
      </c>
      <c r="T13" s="35">
        <v>0.71754600762902199</v>
      </c>
      <c r="U13" s="35">
        <v>0.62633989881451102</v>
      </c>
    </row>
    <row r="14" spans="1:21">
      <c r="A14" s="35" t="s">
        <v>20</v>
      </c>
      <c r="B14" s="35" t="s">
        <v>21</v>
      </c>
      <c r="C14" s="35" t="s">
        <v>19</v>
      </c>
      <c r="D14" s="35" t="s">
        <v>1125</v>
      </c>
      <c r="E14" s="35" t="s">
        <v>1125</v>
      </c>
      <c r="G14" s="35">
        <v>0.97499999999999998</v>
      </c>
      <c r="H14" s="35" t="s">
        <v>1120</v>
      </c>
      <c r="J14" s="55">
        <v>0.87096774193548387</v>
      </c>
      <c r="K14" s="55">
        <v>0.77358490566037741</v>
      </c>
      <c r="L14" s="55">
        <v>1</v>
      </c>
      <c r="M14" s="55">
        <v>0.75806451612903225</v>
      </c>
      <c r="N14" s="55">
        <v>0.8867924528301887</v>
      </c>
      <c r="O14" s="55">
        <v>0.24193548387096775</v>
      </c>
      <c r="P14" s="56">
        <f t="shared" si="0"/>
        <v>0.8222763237979307</v>
      </c>
      <c r="Q14" s="56">
        <f t="shared" si="1"/>
        <v>0.87903225806451613</v>
      </c>
      <c r="R14" s="56">
        <f t="shared" si="2"/>
        <v>0.82242848447961048</v>
      </c>
      <c r="S14" s="35">
        <v>0.50892945999999994</v>
      </c>
      <c r="T14" s="35">
        <v>0.55689209724037603</v>
      </c>
      <c r="U14" s="35">
        <v>0.53291077862018799</v>
      </c>
    </row>
    <row r="15" spans="1:21">
      <c r="A15" s="35" t="s">
        <v>23</v>
      </c>
      <c r="B15" s="35" t="s">
        <v>24</v>
      </c>
      <c r="C15" s="35" t="s">
        <v>22</v>
      </c>
      <c r="D15" s="35" t="s">
        <v>1125</v>
      </c>
      <c r="E15" s="35" t="s">
        <v>1125</v>
      </c>
      <c r="G15" s="35">
        <v>0.96719999999999995</v>
      </c>
      <c r="H15" s="35" t="s">
        <v>1120</v>
      </c>
      <c r="J15" s="55">
        <v>0.54716981132075471</v>
      </c>
      <c r="K15" s="55">
        <v>0.36538461538461536</v>
      </c>
      <c r="L15" s="55">
        <v>0.98113207547169812</v>
      </c>
      <c r="M15" s="55">
        <v>0.86792452830188682</v>
      </c>
      <c r="N15" s="55">
        <v>0.65384615384615385</v>
      </c>
      <c r="O15" s="55">
        <v>0.13207547169811321</v>
      </c>
      <c r="P15" s="56">
        <f t="shared" si="0"/>
        <v>0.45627721335268501</v>
      </c>
      <c r="Q15" s="56">
        <f t="shared" si="1"/>
        <v>0.92452830188679247</v>
      </c>
      <c r="R15" s="56">
        <f t="shared" si="2"/>
        <v>0.76088534107402039</v>
      </c>
      <c r="S15" s="35">
        <v>0.51291750000000003</v>
      </c>
      <c r="T15" s="35">
        <v>0.66521855332907898</v>
      </c>
      <c r="U15" s="35">
        <v>0.5890680266645395</v>
      </c>
    </row>
    <row r="16" spans="1:21">
      <c r="A16" s="35" t="s">
        <v>34</v>
      </c>
      <c r="B16" s="35" t="s">
        <v>35</v>
      </c>
      <c r="C16" s="35" t="s">
        <v>33</v>
      </c>
      <c r="D16" s="35" t="s">
        <v>1125</v>
      </c>
      <c r="E16" s="35" t="s">
        <v>1125</v>
      </c>
      <c r="G16" s="35">
        <v>0.39040000000000002</v>
      </c>
      <c r="H16" s="35" t="s">
        <v>1121</v>
      </c>
      <c r="I16" s="35">
        <v>1</v>
      </c>
      <c r="J16" s="55">
        <v>0.2</v>
      </c>
      <c r="K16" s="55">
        <v>0.38181818181818183</v>
      </c>
      <c r="L16" s="55">
        <v>0.76249999999999996</v>
      </c>
      <c r="M16" s="55">
        <v>0.3125</v>
      </c>
      <c r="N16" s="55">
        <v>0.4</v>
      </c>
      <c r="O16" s="55">
        <v>0.6875</v>
      </c>
      <c r="P16" s="56">
        <f t="shared" si="0"/>
        <v>0.29090909090909089</v>
      </c>
      <c r="Q16" s="56">
        <f t="shared" si="1"/>
        <v>0.53749999999999998</v>
      </c>
      <c r="R16" s="56">
        <f t="shared" si="2"/>
        <v>0.35625000000000001</v>
      </c>
      <c r="S16" s="35">
        <v>0.44530595000000001</v>
      </c>
      <c r="T16" s="35">
        <v>0.27346313635868003</v>
      </c>
      <c r="U16" s="35">
        <v>0.35938454317933999</v>
      </c>
    </row>
    <row r="17" spans="1:21">
      <c r="A17" s="35" t="s">
        <v>51</v>
      </c>
      <c r="B17" s="35" t="s">
        <v>52</v>
      </c>
      <c r="C17" s="35" t="s">
        <v>50</v>
      </c>
      <c r="D17" s="35" t="s">
        <v>1125</v>
      </c>
      <c r="E17" s="35" t="s">
        <v>1125</v>
      </c>
      <c r="G17" s="35">
        <v>0.99339999999999995</v>
      </c>
      <c r="H17" s="35" t="s">
        <v>1120</v>
      </c>
      <c r="J17" s="55">
        <v>0.66666666666666663</v>
      </c>
      <c r="K17" s="55">
        <v>0.78333333333333333</v>
      </c>
      <c r="L17" s="55">
        <v>1</v>
      </c>
      <c r="M17" s="55">
        <v>0.81159420289855078</v>
      </c>
      <c r="N17" s="55">
        <v>0.9</v>
      </c>
      <c r="O17" s="55">
        <v>0.18840579710144928</v>
      </c>
      <c r="P17" s="56">
        <f t="shared" si="0"/>
        <v>0.72499999999999998</v>
      </c>
      <c r="Q17" s="56">
        <f t="shared" si="1"/>
        <v>0.90579710144927539</v>
      </c>
      <c r="R17" s="56">
        <f t="shared" si="2"/>
        <v>0.85579710144927534</v>
      </c>
      <c r="S17" s="35">
        <v>0.58207403999999996</v>
      </c>
      <c r="T17" s="35">
        <v>0.68158222877834296</v>
      </c>
      <c r="U17" s="35">
        <v>0.6318281343891714</v>
      </c>
    </row>
    <row r="18" spans="1:21">
      <c r="A18" s="35" t="s">
        <v>65</v>
      </c>
      <c r="B18" s="35" t="s">
        <v>45</v>
      </c>
      <c r="C18" s="35" t="s">
        <v>64</v>
      </c>
      <c r="D18" s="35" t="s">
        <v>1125</v>
      </c>
      <c r="E18" s="35" t="s">
        <v>1125</v>
      </c>
      <c r="G18" s="35">
        <v>0.56950000000000001</v>
      </c>
      <c r="H18" s="35" t="s">
        <v>1120</v>
      </c>
      <c r="J18" s="55">
        <v>0.23636363636363636</v>
      </c>
      <c r="K18" s="55">
        <v>0.46</v>
      </c>
      <c r="L18" s="55">
        <v>1</v>
      </c>
      <c r="M18" s="55">
        <v>0.61818181818181817</v>
      </c>
      <c r="N18" s="55">
        <v>1</v>
      </c>
      <c r="O18" s="55">
        <v>0.38181818181818183</v>
      </c>
      <c r="P18" s="56">
        <f t="shared" si="0"/>
        <v>0.3481818181818182</v>
      </c>
      <c r="Q18" s="56">
        <f t="shared" si="1"/>
        <v>0.80909090909090908</v>
      </c>
      <c r="R18" s="56">
        <f t="shared" si="2"/>
        <v>0.80909090909090908</v>
      </c>
      <c r="S18" s="35">
        <v>0.58118656999999996</v>
      </c>
      <c r="T18" s="35">
        <v>0.60628507653142305</v>
      </c>
      <c r="U18" s="35">
        <v>0.5937358232657115</v>
      </c>
    </row>
    <row r="19" spans="1:21">
      <c r="A19" s="35" t="s">
        <v>70</v>
      </c>
      <c r="B19" s="35" t="s">
        <v>71</v>
      </c>
      <c r="C19" s="35" t="s">
        <v>69</v>
      </c>
      <c r="D19" s="35" t="s">
        <v>1125</v>
      </c>
      <c r="E19" s="35" t="s">
        <v>1125</v>
      </c>
      <c r="G19" s="35">
        <v>0.99809999999999999</v>
      </c>
      <c r="H19" s="35" t="s">
        <v>1120</v>
      </c>
      <c r="I19" s="35">
        <v>0</v>
      </c>
      <c r="J19" s="55">
        <v>0.98076923076923073</v>
      </c>
      <c r="K19" s="55">
        <v>0.34</v>
      </c>
      <c r="L19" s="55">
        <v>0.94230769230769229</v>
      </c>
      <c r="M19" s="55">
        <v>0.88461538461538458</v>
      </c>
      <c r="N19" s="55">
        <v>0.38</v>
      </c>
      <c r="O19" s="55">
        <v>0.11538461538461539</v>
      </c>
      <c r="P19" s="56">
        <f t="shared" si="0"/>
        <v>0.66038461538461535</v>
      </c>
      <c r="Q19" s="56">
        <f t="shared" si="1"/>
        <v>0.91346153846153844</v>
      </c>
      <c r="R19" s="56">
        <f t="shared" si="2"/>
        <v>0.63230769230769224</v>
      </c>
      <c r="S19" s="35">
        <v>0.47814726000000002</v>
      </c>
      <c r="T19" s="35">
        <v>0.340337796144216</v>
      </c>
      <c r="U19" s="35">
        <v>0.40924252807210804</v>
      </c>
    </row>
    <row r="20" spans="1:21">
      <c r="A20" s="35" t="s">
        <v>73</v>
      </c>
      <c r="B20" s="35" t="s">
        <v>74</v>
      </c>
      <c r="C20" s="35" t="s">
        <v>72</v>
      </c>
      <c r="D20" s="35" t="s">
        <v>1125</v>
      </c>
      <c r="E20" s="35" t="s">
        <v>1125</v>
      </c>
      <c r="G20" s="35">
        <v>0.52939999999999998</v>
      </c>
      <c r="H20" s="35" t="s">
        <v>1121</v>
      </c>
      <c r="J20" s="55">
        <v>0.8</v>
      </c>
      <c r="K20" s="55">
        <v>0.21212121212121213</v>
      </c>
      <c r="L20" s="55">
        <v>0.87692307692307692</v>
      </c>
      <c r="M20" s="55">
        <v>0.81538461538461537</v>
      </c>
      <c r="N20" s="55">
        <v>0.25757575757575757</v>
      </c>
      <c r="O20" s="55">
        <v>0.18461538461538463</v>
      </c>
      <c r="P20" s="56">
        <f t="shared" si="0"/>
        <v>0.5060606060606061</v>
      </c>
      <c r="Q20" s="56">
        <f t="shared" si="1"/>
        <v>0.84615384615384615</v>
      </c>
      <c r="R20" s="56">
        <f t="shared" si="2"/>
        <v>0.53648018648018647</v>
      </c>
      <c r="S20" s="35">
        <v>0.35705445000000002</v>
      </c>
      <c r="T20" s="35">
        <v>0.40255036735286998</v>
      </c>
      <c r="U20" s="35">
        <v>0.379802408676435</v>
      </c>
    </row>
    <row r="21" spans="1:21">
      <c r="A21" s="35" t="s">
        <v>82</v>
      </c>
      <c r="B21" s="35" t="s">
        <v>83</v>
      </c>
      <c r="C21" s="35" t="s">
        <v>81</v>
      </c>
      <c r="D21" s="35" t="s">
        <v>1125</v>
      </c>
      <c r="E21" s="35" t="s">
        <v>1125</v>
      </c>
      <c r="G21" s="35">
        <v>0.98970000000000002</v>
      </c>
      <c r="H21" s="35" t="s">
        <v>1120</v>
      </c>
      <c r="J21" s="55">
        <v>0.9107142857142857</v>
      </c>
      <c r="K21" s="55">
        <v>0.35849056603773582</v>
      </c>
      <c r="L21" s="55">
        <v>0.9821428571428571</v>
      </c>
      <c r="M21" s="55">
        <v>0.9107142857142857</v>
      </c>
      <c r="N21" s="55">
        <v>0.37735849056603776</v>
      </c>
      <c r="O21" s="55">
        <v>8.9285714285714288E-2</v>
      </c>
      <c r="P21" s="56">
        <f t="shared" si="0"/>
        <v>0.63460242587601079</v>
      </c>
      <c r="Q21" s="56">
        <f t="shared" si="1"/>
        <v>0.9464285714285714</v>
      </c>
      <c r="R21" s="56">
        <f t="shared" si="2"/>
        <v>0.64403638814016173</v>
      </c>
      <c r="S21" s="35">
        <v>0.63582351999999998</v>
      </c>
      <c r="T21" s="35">
        <v>0.51984662951487304</v>
      </c>
      <c r="U21" s="35">
        <v>0.57783507475743656</v>
      </c>
    </row>
    <row r="22" spans="1:21">
      <c r="A22" s="35" t="s">
        <v>88</v>
      </c>
      <c r="B22" s="35" t="s">
        <v>89</v>
      </c>
      <c r="C22" s="35" t="s">
        <v>87</v>
      </c>
      <c r="D22" s="35" t="s">
        <v>1125</v>
      </c>
      <c r="E22" s="35" t="s">
        <v>1125</v>
      </c>
      <c r="G22" s="35">
        <v>0.99760000000000004</v>
      </c>
      <c r="H22" s="35" t="s">
        <v>1120</v>
      </c>
      <c r="J22" s="55">
        <v>0.85507246376811596</v>
      </c>
      <c r="K22" s="55">
        <v>0.72</v>
      </c>
      <c r="L22" s="55">
        <v>1</v>
      </c>
      <c r="M22" s="55">
        <v>0.91304347826086951</v>
      </c>
      <c r="N22" s="55">
        <v>1</v>
      </c>
      <c r="O22" s="55">
        <v>8.9285714285714288E-2</v>
      </c>
      <c r="P22" s="56">
        <f t="shared" si="0"/>
        <v>0.78753623188405797</v>
      </c>
      <c r="Q22" s="56">
        <f t="shared" si="1"/>
        <v>0.95652173913043481</v>
      </c>
      <c r="R22" s="56">
        <f t="shared" si="2"/>
        <v>0.95652173913043481</v>
      </c>
      <c r="S22" s="35">
        <v>0.40917172000000002</v>
      </c>
      <c r="T22" s="35">
        <v>0.70735025888761505</v>
      </c>
      <c r="U22" s="35">
        <v>0.55826098944380753</v>
      </c>
    </row>
    <row r="23" spans="1:21">
      <c r="A23" s="35" t="s">
        <v>97</v>
      </c>
      <c r="B23" s="35" t="s">
        <v>98</v>
      </c>
      <c r="C23" s="35" t="s">
        <v>96</v>
      </c>
      <c r="D23" s="35" t="s">
        <v>1125</v>
      </c>
      <c r="E23" s="35" t="s">
        <v>1125</v>
      </c>
      <c r="G23" s="35">
        <v>0.97440000000000004</v>
      </c>
      <c r="H23" s="35" t="s">
        <v>1120</v>
      </c>
      <c r="J23" s="55">
        <v>0.43055555555555558</v>
      </c>
      <c r="K23" s="55">
        <v>0.12727272727272726</v>
      </c>
      <c r="L23" s="55">
        <v>0.69444444444444442</v>
      </c>
      <c r="M23" s="55">
        <v>0.44444444444444442</v>
      </c>
      <c r="N23" s="55">
        <v>0.14545454545454545</v>
      </c>
      <c r="O23" s="55">
        <v>0.55555555555555558</v>
      </c>
      <c r="P23" s="56">
        <f t="shared" si="0"/>
        <v>0.27891414141414139</v>
      </c>
      <c r="Q23" s="56">
        <f t="shared" si="1"/>
        <v>0.56944444444444442</v>
      </c>
      <c r="R23" s="56">
        <f t="shared" si="2"/>
        <v>0.29494949494949496</v>
      </c>
      <c r="S23" s="35">
        <v>0.65774242999999999</v>
      </c>
      <c r="T23" s="35">
        <v>0.21242227532890001</v>
      </c>
      <c r="U23" s="35">
        <v>0.43508235266445</v>
      </c>
    </row>
    <row r="24" spans="1:21">
      <c r="A24" s="35" t="s">
        <v>100</v>
      </c>
      <c r="B24" s="35" t="s">
        <v>101</v>
      </c>
      <c r="C24" s="35" t="s">
        <v>99</v>
      </c>
      <c r="D24" s="35" t="s">
        <v>1125</v>
      </c>
      <c r="E24" s="35" t="s">
        <v>1125</v>
      </c>
      <c r="G24" s="35">
        <v>0.99829999999999997</v>
      </c>
      <c r="H24" s="35" t="s">
        <v>1120</v>
      </c>
      <c r="I24" s="35">
        <v>8.3333333333333329E-2</v>
      </c>
      <c r="J24" s="55">
        <v>0.58461538461538465</v>
      </c>
      <c r="K24" s="55">
        <v>0.39622641509433965</v>
      </c>
      <c r="L24" s="55">
        <v>0.98461538461538467</v>
      </c>
      <c r="M24" s="55">
        <v>0.87692307692307692</v>
      </c>
      <c r="N24" s="55">
        <v>0.83018867924528306</v>
      </c>
      <c r="O24" s="55">
        <v>0.12307692307692308</v>
      </c>
      <c r="P24" s="56">
        <f t="shared" si="0"/>
        <v>0.49042089985486215</v>
      </c>
      <c r="Q24" s="56">
        <f t="shared" si="1"/>
        <v>0.93076923076923079</v>
      </c>
      <c r="R24" s="56">
        <f t="shared" si="2"/>
        <v>0.85355587808417999</v>
      </c>
      <c r="S24" s="35">
        <v>0.68691506999999996</v>
      </c>
      <c r="T24" s="35">
        <v>0.49341587789105401</v>
      </c>
      <c r="U24" s="35">
        <v>0.59016547394552699</v>
      </c>
    </row>
    <row r="25" spans="1:21">
      <c r="A25" s="35" t="s">
        <v>105</v>
      </c>
      <c r="B25" s="35" t="s">
        <v>106</v>
      </c>
      <c r="C25" s="35" t="s">
        <v>107</v>
      </c>
      <c r="D25" s="35" t="s">
        <v>1125</v>
      </c>
      <c r="E25" s="35" t="s">
        <v>1125</v>
      </c>
      <c r="G25" s="35">
        <v>0.94850000000000001</v>
      </c>
      <c r="H25" s="35" t="s">
        <v>1120</v>
      </c>
      <c r="J25" s="55">
        <v>0.390625</v>
      </c>
      <c r="K25" s="55">
        <v>0.23529411764705882</v>
      </c>
      <c r="L25" s="55">
        <v>0.84375</v>
      </c>
      <c r="M25" s="55">
        <v>0.5</v>
      </c>
      <c r="N25" s="55">
        <v>0.49019607843137253</v>
      </c>
      <c r="O25" s="55">
        <v>0.5</v>
      </c>
      <c r="P25" s="56">
        <f t="shared" si="0"/>
        <v>0.31295955882352944</v>
      </c>
      <c r="Q25" s="56">
        <f t="shared" si="1"/>
        <v>0.671875</v>
      </c>
      <c r="R25" s="56">
        <f t="shared" si="2"/>
        <v>0.49509803921568629</v>
      </c>
      <c r="S25" s="35">
        <v>0.71020477999999998</v>
      </c>
      <c r="T25" s="35">
        <v>0.39976941543872402</v>
      </c>
      <c r="U25" s="35">
        <v>0.55498709771936205</v>
      </c>
    </row>
    <row r="26" spans="1:21">
      <c r="A26" s="35" t="s">
        <v>112</v>
      </c>
      <c r="B26" s="35" t="s">
        <v>113</v>
      </c>
      <c r="C26" s="35" t="s">
        <v>111</v>
      </c>
      <c r="D26" s="35" t="s">
        <v>1125</v>
      </c>
      <c r="E26" s="35" t="s">
        <v>1125</v>
      </c>
      <c r="G26" s="35">
        <v>0.96479999999999999</v>
      </c>
      <c r="H26" s="35" t="s">
        <v>1120</v>
      </c>
      <c r="I26" s="35">
        <v>0.58333333333333337</v>
      </c>
      <c r="J26" s="55">
        <v>0.2711864406779661</v>
      </c>
      <c r="K26" s="55">
        <v>0.34920634920634919</v>
      </c>
      <c r="L26" s="55">
        <v>1</v>
      </c>
      <c r="M26" s="55">
        <v>0.64406779661016944</v>
      </c>
      <c r="N26" s="55">
        <v>0.87301587301587302</v>
      </c>
      <c r="O26" s="55">
        <v>0.3559322033898305</v>
      </c>
      <c r="P26" s="56">
        <f t="shared" si="0"/>
        <v>0.31019639494215767</v>
      </c>
      <c r="Q26" s="56">
        <f t="shared" si="1"/>
        <v>0.82203389830508478</v>
      </c>
      <c r="R26" s="56">
        <f t="shared" si="2"/>
        <v>0.75854183481302129</v>
      </c>
      <c r="S26" s="35">
        <v>0.59670124999999996</v>
      </c>
      <c r="T26" s="35">
        <v>0.46240051346254302</v>
      </c>
      <c r="U26" s="35">
        <v>0.52955088173127152</v>
      </c>
    </row>
    <row r="27" spans="1:21">
      <c r="A27" s="35" t="s">
        <v>115</v>
      </c>
      <c r="B27" s="35" t="s">
        <v>116</v>
      </c>
      <c r="C27" s="35" t="s">
        <v>114</v>
      </c>
      <c r="D27" s="35" t="s">
        <v>1125</v>
      </c>
      <c r="E27" s="35" t="s">
        <v>1125</v>
      </c>
      <c r="G27" s="35">
        <v>0.93640000000000001</v>
      </c>
      <c r="H27" s="35" t="s">
        <v>1120</v>
      </c>
      <c r="J27" s="55">
        <v>0.84615384615384615</v>
      </c>
      <c r="K27" s="55">
        <v>0.37333333333333335</v>
      </c>
      <c r="L27" s="55">
        <v>0.98461538461538467</v>
      </c>
      <c r="M27" s="55">
        <v>0.93846153846153846</v>
      </c>
      <c r="N27" s="55">
        <v>0.54666666666666663</v>
      </c>
      <c r="O27" s="55">
        <v>6.1538461538461542E-2</v>
      </c>
      <c r="P27" s="56">
        <f t="shared" si="0"/>
        <v>0.60974358974358978</v>
      </c>
      <c r="Q27" s="56">
        <f t="shared" si="1"/>
        <v>0.96153846153846156</v>
      </c>
      <c r="R27" s="56">
        <f t="shared" si="2"/>
        <v>0.74256410256410255</v>
      </c>
      <c r="S27" s="35">
        <v>0.75736517999999997</v>
      </c>
      <c r="T27" s="35">
        <v>0.72170221584253302</v>
      </c>
      <c r="U27" s="35">
        <v>0.73953369792126655</v>
      </c>
    </row>
    <row r="28" spans="1:21">
      <c r="A28" s="35" t="s">
        <v>124</v>
      </c>
      <c r="B28" s="35" t="s">
        <v>125</v>
      </c>
      <c r="C28" s="35" t="s">
        <v>123</v>
      </c>
      <c r="D28" s="35" t="s">
        <v>1125</v>
      </c>
      <c r="E28" s="35" t="s">
        <v>1125</v>
      </c>
      <c r="G28" s="35">
        <v>0.95050000000000001</v>
      </c>
      <c r="H28" s="35" t="s">
        <v>1120</v>
      </c>
      <c r="J28" s="55">
        <v>0.54716981132075471</v>
      </c>
      <c r="K28" s="55">
        <v>0.40677966101694918</v>
      </c>
      <c r="L28" s="55">
        <v>1</v>
      </c>
      <c r="M28" s="55">
        <v>0.90566037735849059</v>
      </c>
      <c r="N28" s="55">
        <v>0.94915254237288138</v>
      </c>
      <c r="O28" s="55">
        <v>9.4339622641509441E-2</v>
      </c>
      <c r="P28" s="56">
        <f t="shared" si="0"/>
        <v>0.47697473616885194</v>
      </c>
      <c r="Q28" s="56">
        <f t="shared" si="1"/>
        <v>0.95283018867924529</v>
      </c>
      <c r="R28" s="56">
        <f t="shared" si="2"/>
        <v>0.92740645986568593</v>
      </c>
      <c r="S28" s="35">
        <v>0.58251286000000002</v>
      </c>
      <c r="T28" s="35">
        <v>0.77282214442043795</v>
      </c>
      <c r="U28" s="35">
        <v>0.67766750221021899</v>
      </c>
    </row>
    <row r="29" spans="1:21">
      <c r="A29" s="35" t="s">
        <v>127</v>
      </c>
      <c r="B29" s="35" t="s">
        <v>128</v>
      </c>
      <c r="C29" s="35" t="s">
        <v>126</v>
      </c>
      <c r="D29" s="35" t="s">
        <v>1125</v>
      </c>
      <c r="E29" s="35" t="s">
        <v>1125</v>
      </c>
      <c r="G29" s="35">
        <v>0.99919999999999998</v>
      </c>
      <c r="H29" s="35" t="s">
        <v>1120</v>
      </c>
      <c r="J29" s="55">
        <v>0.94827586206896552</v>
      </c>
      <c r="K29" s="55">
        <v>0.28846153846153844</v>
      </c>
      <c r="L29" s="55">
        <v>0.91379310344827591</v>
      </c>
      <c r="M29" s="55">
        <v>0.89655172413793105</v>
      </c>
      <c r="N29" s="55">
        <v>0.30769230769230771</v>
      </c>
      <c r="O29" s="55">
        <v>0.10344827586206896</v>
      </c>
      <c r="P29" s="56">
        <f t="shared" si="0"/>
        <v>0.61836870026525204</v>
      </c>
      <c r="Q29" s="56">
        <f t="shared" si="1"/>
        <v>0.90517241379310343</v>
      </c>
      <c r="R29" s="56">
        <f t="shared" si="2"/>
        <v>0.60212201591511938</v>
      </c>
      <c r="S29" s="35">
        <v>0.48076754999999999</v>
      </c>
      <c r="T29" s="35">
        <v>0.237646460334134</v>
      </c>
      <c r="U29" s="35">
        <v>0.359207005167067</v>
      </c>
    </row>
    <row r="30" spans="1:21">
      <c r="A30" s="35" t="s">
        <v>130</v>
      </c>
      <c r="B30" s="35" t="s">
        <v>131</v>
      </c>
      <c r="C30" s="35" t="s">
        <v>129</v>
      </c>
      <c r="D30" s="35" t="s">
        <v>1125</v>
      </c>
      <c r="E30" s="35" t="s">
        <v>1125</v>
      </c>
      <c r="G30" s="35">
        <v>0.90659999999999996</v>
      </c>
      <c r="H30" s="35" t="s">
        <v>1120</v>
      </c>
      <c r="J30" s="55">
        <v>0.96</v>
      </c>
      <c r="K30" s="55">
        <v>0.42424242424242425</v>
      </c>
      <c r="L30" s="55">
        <v>1</v>
      </c>
      <c r="M30" s="55">
        <v>0.96</v>
      </c>
      <c r="N30" s="55">
        <v>0.81818181818181823</v>
      </c>
      <c r="O30" s="55">
        <v>0.04</v>
      </c>
      <c r="P30" s="56">
        <f t="shared" si="0"/>
        <v>0.69212121212121214</v>
      </c>
      <c r="Q30" s="56">
        <f t="shared" si="1"/>
        <v>0.98</v>
      </c>
      <c r="R30" s="56">
        <f t="shared" si="2"/>
        <v>0.88909090909090915</v>
      </c>
      <c r="S30" s="35">
        <v>0.82906294999999997</v>
      </c>
      <c r="T30" s="35">
        <v>0.64404900622635497</v>
      </c>
      <c r="U30" s="35">
        <v>0.73655597811317741</v>
      </c>
    </row>
    <row r="31" spans="1:21">
      <c r="A31" s="35" t="s">
        <v>138</v>
      </c>
      <c r="B31" s="35" t="s">
        <v>139</v>
      </c>
      <c r="C31" s="35" t="s">
        <v>137</v>
      </c>
      <c r="D31" s="35" t="s">
        <v>1125</v>
      </c>
      <c r="E31" s="35" t="s">
        <v>1125</v>
      </c>
      <c r="G31" s="35">
        <v>0.99450000000000005</v>
      </c>
      <c r="H31" s="35" t="s">
        <v>1120</v>
      </c>
      <c r="I31" s="35">
        <v>0.25</v>
      </c>
      <c r="J31" s="55">
        <v>0.65625</v>
      </c>
      <c r="K31" s="55">
        <v>0.49180327868852458</v>
      </c>
      <c r="L31" s="55">
        <v>0.890625</v>
      </c>
      <c r="M31" s="55">
        <v>0.859375</v>
      </c>
      <c r="N31" s="55">
        <v>0.96721311475409832</v>
      </c>
      <c r="O31" s="55">
        <v>0.140625</v>
      </c>
      <c r="P31" s="56">
        <f t="shared" si="0"/>
        <v>0.57402663934426235</v>
      </c>
      <c r="Q31" s="56">
        <f t="shared" si="1"/>
        <v>0.875</v>
      </c>
      <c r="R31" s="56">
        <f t="shared" si="2"/>
        <v>0.91329405737704916</v>
      </c>
      <c r="S31" s="35">
        <v>0.64265996000000003</v>
      </c>
      <c r="T31" s="35">
        <v>0.68769635157045095</v>
      </c>
      <c r="U31" s="35">
        <v>0.66517815578522543</v>
      </c>
    </row>
    <row r="32" spans="1:21">
      <c r="A32" s="35" t="s">
        <v>144</v>
      </c>
      <c r="B32" s="35" t="s">
        <v>145</v>
      </c>
      <c r="C32" s="35" t="s">
        <v>143</v>
      </c>
      <c r="D32" s="35" t="s">
        <v>1125</v>
      </c>
      <c r="E32" s="35" t="s">
        <v>1125</v>
      </c>
      <c r="G32" s="35">
        <v>0.9819</v>
      </c>
      <c r="H32" s="35" t="s">
        <v>1120</v>
      </c>
      <c r="J32" s="55">
        <v>0.6271186440677966</v>
      </c>
      <c r="K32" s="55">
        <v>0.26785714285714285</v>
      </c>
      <c r="L32" s="55">
        <v>1</v>
      </c>
      <c r="M32" s="55">
        <v>0.83050847457627119</v>
      </c>
      <c r="N32" s="55">
        <v>0.5892857142857143</v>
      </c>
      <c r="O32" s="55">
        <v>0.16949152542372881</v>
      </c>
      <c r="P32" s="56">
        <f t="shared" si="0"/>
        <v>0.44748789346246975</v>
      </c>
      <c r="Q32" s="56">
        <f t="shared" si="1"/>
        <v>0.9152542372881356</v>
      </c>
      <c r="R32" s="56">
        <f t="shared" si="2"/>
        <v>0.7098970944309928</v>
      </c>
      <c r="S32" s="35">
        <v>0.68740022000000001</v>
      </c>
      <c r="T32" s="35">
        <v>0.73185645817089895</v>
      </c>
      <c r="U32" s="35">
        <v>0.70962833908544942</v>
      </c>
    </row>
    <row r="33" spans="1:21">
      <c r="A33" s="35" t="s">
        <v>147</v>
      </c>
      <c r="B33" s="35" t="s">
        <v>148</v>
      </c>
      <c r="C33" s="35" t="s">
        <v>146</v>
      </c>
      <c r="D33" s="35" t="s">
        <v>1125</v>
      </c>
      <c r="E33" s="35" t="s">
        <v>1125</v>
      </c>
      <c r="G33" s="35">
        <v>0.98950000000000005</v>
      </c>
      <c r="H33" s="35" t="s">
        <v>1120</v>
      </c>
      <c r="J33" s="55">
        <v>0.57692307692307687</v>
      </c>
      <c r="K33" s="55"/>
      <c r="L33" s="55">
        <v>0.84615384615384615</v>
      </c>
      <c r="M33" s="55">
        <v>0.73076923076923073</v>
      </c>
      <c r="N33" s="55"/>
      <c r="O33" s="55">
        <v>0.26923076923076922</v>
      </c>
      <c r="P33" s="56"/>
      <c r="Q33" s="56"/>
      <c r="R33" s="56"/>
      <c r="S33" s="35">
        <v>0.60886768000000002</v>
      </c>
      <c r="T33" s="35">
        <v>0.63923660932070703</v>
      </c>
      <c r="U33" s="35">
        <v>0.62405214466035352</v>
      </c>
    </row>
    <row r="34" spans="1:21">
      <c r="A34" s="35" t="s">
        <v>153</v>
      </c>
      <c r="B34" s="35" t="s">
        <v>154</v>
      </c>
      <c r="C34" s="35" t="s">
        <v>152</v>
      </c>
      <c r="D34" s="35" t="s">
        <v>1125</v>
      </c>
      <c r="E34" s="35" t="s">
        <v>1125</v>
      </c>
      <c r="G34" s="35">
        <v>0.97289999999999999</v>
      </c>
      <c r="H34" s="35" t="s">
        <v>1120</v>
      </c>
      <c r="J34" s="55">
        <v>0.734375</v>
      </c>
      <c r="K34" s="55">
        <v>0.61818181818181817</v>
      </c>
      <c r="L34" s="55">
        <v>0.984375</v>
      </c>
      <c r="M34" s="55">
        <v>0.828125</v>
      </c>
      <c r="N34" s="55">
        <v>0.92727272727272725</v>
      </c>
      <c r="O34" s="55">
        <v>0.171875</v>
      </c>
      <c r="P34" s="56">
        <f t="shared" ref="P34:P56" si="3">AVERAGE(J34:K34)</f>
        <v>0.67627840909090908</v>
      </c>
      <c r="Q34" s="56">
        <f t="shared" ref="Q34:Q42" si="4">AVERAGE(L34:M34)</f>
        <v>0.90625</v>
      </c>
      <c r="R34" s="56">
        <f t="shared" ref="R34:R42" si="5">AVERAGE(M34:N34)</f>
        <v>0.87769886363636362</v>
      </c>
      <c r="S34" s="35">
        <v>0.73386045</v>
      </c>
      <c r="T34" s="35">
        <v>0.424828769715757</v>
      </c>
      <c r="U34" s="35">
        <v>0.5793446098578785</v>
      </c>
    </row>
    <row r="35" spans="1:21">
      <c r="A35" s="35" t="s">
        <v>156</v>
      </c>
      <c r="B35" s="35" t="s">
        <v>157</v>
      </c>
      <c r="C35" s="35" t="s">
        <v>155</v>
      </c>
      <c r="D35" s="35" t="s">
        <v>1125</v>
      </c>
      <c r="E35" s="35" t="s">
        <v>1125</v>
      </c>
      <c r="G35" s="35">
        <v>0.91</v>
      </c>
      <c r="H35" s="35" t="s">
        <v>1120</v>
      </c>
      <c r="J35" s="55">
        <v>0.45</v>
      </c>
      <c r="K35" s="55">
        <v>9.8039215686274508E-2</v>
      </c>
      <c r="L35" s="55">
        <v>0.81666666666666665</v>
      </c>
      <c r="M35" s="55">
        <v>0.55000000000000004</v>
      </c>
      <c r="N35" s="55">
        <v>0.15686274509803921</v>
      </c>
      <c r="O35" s="55">
        <v>0.45</v>
      </c>
      <c r="P35" s="56">
        <f t="shared" si="3"/>
        <v>0.27401960784313728</v>
      </c>
      <c r="Q35" s="56">
        <f t="shared" si="4"/>
        <v>0.68333333333333335</v>
      </c>
      <c r="R35" s="56">
        <f t="shared" si="5"/>
        <v>0.35343137254901963</v>
      </c>
      <c r="S35" s="35">
        <v>0.34345350000000002</v>
      </c>
      <c r="T35" s="35">
        <v>0.398148111300622</v>
      </c>
      <c r="U35" s="35">
        <v>0.37080080565031104</v>
      </c>
    </row>
    <row r="36" spans="1:21">
      <c r="A36" s="35" t="s">
        <v>159</v>
      </c>
      <c r="B36" s="35" t="s">
        <v>160</v>
      </c>
      <c r="C36" s="35" t="s">
        <v>158</v>
      </c>
      <c r="D36" s="35" t="s">
        <v>1125</v>
      </c>
      <c r="E36" s="35" t="s">
        <v>1125</v>
      </c>
      <c r="G36" s="35">
        <v>0.96709999999999996</v>
      </c>
      <c r="H36" s="35" t="s">
        <v>1120</v>
      </c>
      <c r="J36" s="55">
        <v>0.81666666666666665</v>
      </c>
      <c r="K36" s="55">
        <v>0.33333333333333331</v>
      </c>
      <c r="L36" s="55">
        <v>1</v>
      </c>
      <c r="M36" s="55">
        <v>0.91666666666666663</v>
      </c>
      <c r="N36" s="55">
        <v>1</v>
      </c>
      <c r="O36" s="55">
        <v>8.3333333333333329E-2</v>
      </c>
      <c r="P36" s="56">
        <f t="shared" si="3"/>
        <v>0.57499999999999996</v>
      </c>
      <c r="Q36" s="56">
        <f t="shared" si="4"/>
        <v>0.95833333333333326</v>
      </c>
      <c r="R36" s="56">
        <f t="shared" si="5"/>
        <v>0.95833333333333326</v>
      </c>
      <c r="S36" s="35">
        <v>0.73961091000000001</v>
      </c>
      <c r="T36" s="35">
        <v>0.72753631327114199</v>
      </c>
      <c r="U36" s="35">
        <v>0.733573611635571</v>
      </c>
    </row>
    <row r="37" spans="1:21">
      <c r="A37" s="35" t="s">
        <v>169</v>
      </c>
      <c r="B37" s="35" t="s">
        <v>170</v>
      </c>
      <c r="C37" s="35" t="s">
        <v>168</v>
      </c>
      <c r="D37" s="35" t="s">
        <v>1125</v>
      </c>
      <c r="E37" s="35" t="s">
        <v>1125</v>
      </c>
      <c r="G37" s="35">
        <v>0.9849</v>
      </c>
      <c r="H37" s="35" t="s">
        <v>1120</v>
      </c>
      <c r="J37" s="55">
        <v>0.67272727272727273</v>
      </c>
      <c r="K37" s="55">
        <v>0.67796610169491522</v>
      </c>
      <c r="L37" s="55">
        <v>0.98181818181818181</v>
      </c>
      <c r="M37" s="55">
        <v>0.89090909090909087</v>
      </c>
      <c r="N37" s="55">
        <v>0.88135593220338981</v>
      </c>
      <c r="O37" s="55">
        <v>0.10909090909090909</v>
      </c>
      <c r="P37" s="56">
        <f t="shared" si="3"/>
        <v>0.67534668721109403</v>
      </c>
      <c r="Q37" s="56">
        <f t="shared" si="4"/>
        <v>0.93636363636363629</v>
      </c>
      <c r="R37" s="56">
        <f t="shared" si="5"/>
        <v>0.8861325115562404</v>
      </c>
      <c r="S37" s="35">
        <v>0.78439210000000004</v>
      </c>
      <c r="T37" s="35">
        <v>0.70378475443466804</v>
      </c>
      <c r="U37" s="35">
        <v>0.74408842721733404</v>
      </c>
    </row>
    <row r="38" spans="1:21">
      <c r="A38" s="35" t="s">
        <v>187</v>
      </c>
      <c r="B38" s="35" t="s">
        <v>188</v>
      </c>
      <c r="C38" s="35" t="s">
        <v>186</v>
      </c>
      <c r="D38" s="35" t="s">
        <v>1125</v>
      </c>
      <c r="E38" s="35" t="s">
        <v>1125</v>
      </c>
      <c r="G38" s="35">
        <v>0.94</v>
      </c>
      <c r="H38" s="35" t="s">
        <v>1120</v>
      </c>
      <c r="I38" s="35">
        <v>0.25</v>
      </c>
      <c r="J38" s="55">
        <v>0.7678571428571429</v>
      </c>
      <c r="K38" s="55">
        <v>0.27777777777777779</v>
      </c>
      <c r="L38" s="55">
        <v>0.9107142857142857</v>
      </c>
      <c r="M38" s="55">
        <v>0.7678571428571429</v>
      </c>
      <c r="N38" s="55">
        <v>0.59259259259259256</v>
      </c>
      <c r="O38" s="55">
        <v>0.23214285714285715</v>
      </c>
      <c r="P38" s="56">
        <f t="shared" si="3"/>
        <v>0.52281746031746035</v>
      </c>
      <c r="Q38" s="56">
        <f t="shared" si="4"/>
        <v>0.8392857142857143</v>
      </c>
      <c r="R38" s="56">
        <f t="shared" si="5"/>
        <v>0.68022486772486768</v>
      </c>
      <c r="S38" s="35">
        <v>0.70229593000000001</v>
      </c>
      <c r="T38" s="35">
        <v>0.64113224026668902</v>
      </c>
      <c r="U38" s="35">
        <v>0.67171408513334452</v>
      </c>
    </row>
    <row r="39" spans="1:21">
      <c r="A39" s="35" t="s">
        <v>192</v>
      </c>
      <c r="B39" s="35" t="s">
        <v>193</v>
      </c>
      <c r="C39" s="35" t="s">
        <v>191</v>
      </c>
      <c r="D39" s="35" t="s">
        <v>1125</v>
      </c>
      <c r="E39" s="35" t="s">
        <v>1125</v>
      </c>
      <c r="G39" s="35">
        <v>0.8911</v>
      </c>
      <c r="H39" s="35" t="s">
        <v>1120</v>
      </c>
      <c r="I39" s="35">
        <v>0.75</v>
      </c>
      <c r="J39" s="55">
        <v>0.29032258064516131</v>
      </c>
      <c r="K39" s="55">
        <v>0.46666666666666667</v>
      </c>
      <c r="L39" s="55">
        <v>1</v>
      </c>
      <c r="M39" s="55">
        <v>0.66129032258064513</v>
      </c>
      <c r="N39" s="55">
        <v>1</v>
      </c>
      <c r="O39" s="55">
        <v>0.33870967741935482</v>
      </c>
      <c r="P39" s="56">
        <f t="shared" si="3"/>
        <v>0.37849462365591402</v>
      </c>
      <c r="Q39" s="56">
        <f t="shared" si="4"/>
        <v>0.83064516129032251</v>
      </c>
      <c r="R39" s="56">
        <f t="shared" si="5"/>
        <v>0.83064516129032251</v>
      </c>
      <c r="S39" s="35">
        <v>0.68560971999999998</v>
      </c>
      <c r="T39" s="35">
        <v>0.35600984704259098</v>
      </c>
      <c r="U39" s="35">
        <v>0.52080978352129548</v>
      </c>
    </row>
    <row r="40" spans="1:21">
      <c r="A40" s="35" t="s">
        <v>94</v>
      </c>
      <c r="B40" s="35" t="s">
        <v>95</v>
      </c>
      <c r="C40" s="35" t="s">
        <v>93</v>
      </c>
      <c r="D40" s="35" t="s">
        <v>1127</v>
      </c>
      <c r="E40" s="35" t="s">
        <v>1125</v>
      </c>
      <c r="G40" s="35">
        <v>0.99509999999999998</v>
      </c>
      <c r="H40" s="35" t="s">
        <v>1120</v>
      </c>
      <c r="J40" s="55">
        <v>0.72549019607843135</v>
      </c>
      <c r="K40" s="55">
        <v>0.25454545454545452</v>
      </c>
      <c r="L40" s="55">
        <v>0.96078431372549022</v>
      </c>
      <c r="M40" s="55">
        <v>0.76470588235294112</v>
      </c>
      <c r="N40" s="55">
        <v>0.58181818181818179</v>
      </c>
      <c r="O40" s="55">
        <v>0.23529411764705882</v>
      </c>
      <c r="P40" s="56">
        <f t="shared" si="3"/>
        <v>0.49001782531194293</v>
      </c>
      <c r="Q40" s="56">
        <f t="shared" si="4"/>
        <v>0.86274509803921573</v>
      </c>
      <c r="R40" s="56">
        <f t="shared" si="5"/>
        <v>0.67326203208556146</v>
      </c>
      <c r="S40" s="35">
        <v>0.79395300000000002</v>
      </c>
      <c r="T40" s="35">
        <v>0.62718185534756898</v>
      </c>
      <c r="U40" s="35">
        <v>0.71056742767378456</v>
      </c>
    </row>
    <row r="41" spans="1:21">
      <c r="A41" s="35" t="s">
        <v>30</v>
      </c>
      <c r="B41" s="35" t="s">
        <v>31</v>
      </c>
      <c r="C41" s="35" t="s">
        <v>29</v>
      </c>
      <c r="D41" s="35" t="s">
        <v>1128</v>
      </c>
      <c r="E41" s="35" t="s">
        <v>1125</v>
      </c>
      <c r="G41" s="35">
        <v>0.75209999999999999</v>
      </c>
      <c r="H41" s="35" t="s">
        <v>1120</v>
      </c>
      <c r="J41" s="55">
        <v>0.32857142857142857</v>
      </c>
      <c r="K41" s="55">
        <v>0.23214285714285715</v>
      </c>
      <c r="L41" s="55">
        <v>0.98571428571428577</v>
      </c>
      <c r="M41" s="55">
        <v>0.44285714285714284</v>
      </c>
      <c r="N41" s="55">
        <v>0.9464285714285714</v>
      </c>
      <c r="O41" s="55">
        <v>0.55714285714285716</v>
      </c>
      <c r="P41" s="56">
        <f t="shared" si="3"/>
        <v>0.28035714285714286</v>
      </c>
      <c r="Q41" s="56">
        <f t="shared" si="4"/>
        <v>0.7142857142857143</v>
      </c>
      <c r="R41" s="56">
        <f t="shared" si="5"/>
        <v>0.69464285714285712</v>
      </c>
      <c r="S41" s="35">
        <v>0.43648396</v>
      </c>
      <c r="T41" s="35">
        <v>0.64917213843656496</v>
      </c>
      <c r="U41" s="35">
        <v>0.54282804921828243</v>
      </c>
    </row>
    <row r="42" spans="1:21">
      <c r="A42" s="35" t="s">
        <v>54</v>
      </c>
      <c r="B42" s="35" t="s">
        <v>55</v>
      </c>
      <c r="C42" s="35" t="s">
        <v>53</v>
      </c>
      <c r="D42" s="35" t="s">
        <v>1128</v>
      </c>
      <c r="E42" s="35" t="s">
        <v>1125</v>
      </c>
      <c r="G42" s="35">
        <v>0.90969999999999995</v>
      </c>
      <c r="H42" s="35" t="s">
        <v>1120</v>
      </c>
      <c r="J42" s="55">
        <v>0.68852459016393441</v>
      </c>
      <c r="K42" s="55">
        <v>0.85964912280701755</v>
      </c>
      <c r="L42" s="55">
        <v>0.91803278688524592</v>
      </c>
      <c r="M42" s="55">
        <v>0.85245901639344257</v>
      </c>
      <c r="N42" s="55">
        <v>0.61403508771929827</v>
      </c>
      <c r="O42" s="55">
        <v>0.14754098360655737</v>
      </c>
      <c r="P42" s="56">
        <f t="shared" si="3"/>
        <v>0.77408685648547593</v>
      </c>
      <c r="Q42" s="56">
        <f t="shared" si="4"/>
        <v>0.88524590163934425</v>
      </c>
      <c r="R42" s="56">
        <f t="shared" si="5"/>
        <v>0.73324705205637042</v>
      </c>
      <c r="S42" s="35">
        <v>0.68116663</v>
      </c>
      <c r="T42" s="35">
        <v>0.54087080404551402</v>
      </c>
      <c r="U42" s="35">
        <v>0.61101871702275701</v>
      </c>
    </row>
    <row r="43" spans="1:21">
      <c r="A43" s="35" t="s">
        <v>85</v>
      </c>
      <c r="B43" s="35" t="s">
        <v>86</v>
      </c>
      <c r="C43" s="35" t="s">
        <v>84</v>
      </c>
      <c r="D43" s="35" t="s">
        <v>1128</v>
      </c>
      <c r="E43" s="35" t="s">
        <v>1125</v>
      </c>
      <c r="F43" s="35" t="s">
        <v>1115</v>
      </c>
      <c r="G43" s="35">
        <v>0.74470000000000003</v>
      </c>
      <c r="H43" s="35" t="s">
        <v>1120</v>
      </c>
      <c r="J43" s="55">
        <v>0.48214285714285715</v>
      </c>
      <c r="K43" s="55">
        <v>0.27586206899999999</v>
      </c>
      <c r="L43" s="55">
        <v>0.9285714285714286</v>
      </c>
      <c r="M43" s="55">
        <v>0.6785714285714286</v>
      </c>
      <c r="N43" s="55">
        <v>0.89655172400000005</v>
      </c>
      <c r="O43" s="55">
        <v>0.32142857142857145</v>
      </c>
      <c r="P43" s="56">
        <f t="shared" si="3"/>
        <v>0.3790024630714286</v>
      </c>
      <c r="Q43" s="56"/>
      <c r="R43" s="56">
        <f t="shared" ref="R43:R56" si="6">AVERAGE(M43:N43)</f>
        <v>0.78756157628571433</v>
      </c>
      <c r="S43" s="35">
        <v>0.67218668000000004</v>
      </c>
      <c r="T43" s="35">
        <v>0.49827529004129401</v>
      </c>
      <c r="U43" s="35">
        <v>0.58523098502064697</v>
      </c>
    </row>
    <row r="44" spans="1:21">
      <c r="A44" s="35" t="s">
        <v>37</v>
      </c>
      <c r="B44" s="35" t="s">
        <v>38</v>
      </c>
      <c r="C44" s="35" t="s">
        <v>36</v>
      </c>
      <c r="D44" s="35" t="s">
        <v>1126</v>
      </c>
      <c r="E44" s="35" t="s">
        <v>1126</v>
      </c>
      <c r="G44" s="35">
        <v>0.99829999999999997</v>
      </c>
      <c r="H44" s="35" t="s">
        <v>1120</v>
      </c>
      <c r="J44" s="55">
        <v>0.8928571428571429</v>
      </c>
      <c r="K44" s="55">
        <v>0.56000000000000005</v>
      </c>
      <c r="L44" s="55">
        <v>0.9464285714285714</v>
      </c>
      <c r="M44" s="55">
        <v>0.9642857142857143</v>
      </c>
      <c r="N44" s="55">
        <v>0.7</v>
      </c>
      <c r="O44" s="55">
        <v>3.5714285714285712E-2</v>
      </c>
      <c r="P44" s="56">
        <f t="shared" si="3"/>
        <v>0.72642857142857142</v>
      </c>
      <c r="Q44" s="56">
        <f t="shared" ref="Q44:Q56" si="7">AVERAGE(L44:M44)</f>
        <v>0.95535714285714279</v>
      </c>
      <c r="R44" s="56">
        <f t="shared" si="6"/>
        <v>0.83214285714285707</v>
      </c>
      <c r="S44" s="35">
        <v>0.67964206999999999</v>
      </c>
      <c r="T44" s="35">
        <v>0.71555040347508003</v>
      </c>
      <c r="U44" s="35">
        <v>0.69759623673754001</v>
      </c>
    </row>
    <row r="45" spans="1:21">
      <c r="A45" s="35" t="s">
        <v>41</v>
      </c>
      <c r="B45" s="35" t="s">
        <v>42</v>
      </c>
      <c r="C45" s="35" t="s">
        <v>40</v>
      </c>
      <c r="D45" s="35" t="s">
        <v>1126</v>
      </c>
      <c r="E45" s="35" t="s">
        <v>1126</v>
      </c>
      <c r="G45" s="35">
        <v>0.92969999999999997</v>
      </c>
      <c r="H45" s="35" t="s">
        <v>1120</v>
      </c>
      <c r="J45" s="55">
        <v>0.65671641791044777</v>
      </c>
      <c r="K45" s="55">
        <v>0.36363636363636365</v>
      </c>
      <c r="L45" s="55">
        <v>0.89552238805970152</v>
      </c>
      <c r="M45" s="55">
        <v>0.64179104477611937</v>
      </c>
      <c r="N45" s="55">
        <v>0.38181818181818183</v>
      </c>
      <c r="O45" s="55">
        <v>0.35820895522388058</v>
      </c>
      <c r="P45" s="56">
        <f t="shared" si="3"/>
        <v>0.51017639077340571</v>
      </c>
      <c r="Q45" s="56">
        <f t="shared" si="7"/>
        <v>0.76865671641791045</v>
      </c>
      <c r="R45" s="56">
        <f t="shared" si="6"/>
        <v>0.51180461329715055</v>
      </c>
      <c r="S45" s="35">
        <v>0.63100367000000002</v>
      </c>
      <c r="T45" s="35">
        <v>0.47417562390227402</v>
      </c>
      <c r="U45" s="35">
        <v>0.55258964695113699</v>
      </c>
    </row>
    <row r="46" spans="1:21">
      <c r="A46" s="35" t="s">
        <v>91</v>
      </c>
      <c r="B46" s="35" t="s">
        <v>92</v>
      </c>
      <c r="C46" s="35" t="s">
        <v>90</v>
      </c>
      <c r="D46" s="35" t="s">
        <v>1126</v>
      </c>
      <c r="E46" s="35" t="s">
        <v>1126</v>
      </c>
      <c r="G46" s="35">
        <v>0.82220000000000004</v>
      </c>
      <c r="H46" s="35" t="s">
        <v>1120</v>
      </c>
      <c r="I46" s="35">
        <v>10</v>
      </c>
      <c r="J46" s="55">
        <v>0.65671641791044777</v>
      </c>
      <c r="K46" s="55">
        <v>0</v>
      </c>
      <c r="L46" s="55">
        <v>0.89552238805970152</v>
      </c>
      <c r="M46" s="55">
        <v>0.13432835820895522</v>
      </c>
      <c r="N46" s="55">
        <v>0.53846153846153844</v>
      </c>
      <c r="O46" s="55">
        <v>0.35820895522388058</v>
      </c>
      <c r="P46" s="56">
        <f t="shared" si="3"/>
        <v>0.32835820895522388</v>
      </c>
      <c r="Q46" s="56">
        <f t="shared" si="7"/>
        <v>0.5149253731343284</v>
      </c>
      <c r="R46" s="56">
        <f t="shared" si="6"/>
        <v>0.33639494833524686</v>
      </c>
      <c r="S46" s="35">
        <v>0.30304560000000003</v>
      </c>
      <c r="T46" s="35">
        <v>0.53753913609686299</v>
      </c>
      <c r="U46" s="35">
        <v>0.42029236804843151</v>
      </c>
    </row>
    <row r="47" spans="1:21">
      <c r="A47" s="35" t="s">
        <v>118</v>
      </c>
      <c r="B47" s="35" t="s">
        <v>119</v>
      </c>
      <c r="C47" s="35" t="s">
        <v>117</v>
      </c>
      <c r="D47" s="35" t="s">
        <v>1126</v>
      </c>
      <c r="E47" s="35" t="s">
        <v>1126</v>
      </c>
      <c r="G47" s="35">
        <v>0.99299999999999999</v>
      </c>
      <c r="H47" s="35" t="s">
        <v>1120</v>
      </c>
      <c r="J47" s="55">
        <v>0.85483870967741937</v>
      </c>
      <c r="K47" s="55">
        <v>0.46031746031746029</v>
      </c>
      <c r="L47" s="55">
        <v>1</v>
      </c>
      <c r="M47" s="55">
        <v>0.91935483870967738</v>
      </c>
      <c r="N47" s="55">
        <v>0.88888888888888884</v>
      </c>
      <c r="O47" s="55">
        <v>8.0645161290322578E-2</v>
      </c>
      <c r="P47" s="56">
        <f t="shared" si="3"/>
        <v>0.65757808499743986</v>
      </c>
      <c r="Q47" s="56">
        <f t="shared" si="7"/>
        <v>0.95967741935483875</v>
      </c>
      <c r="R47" s="56">
        <f t="shared" si="6"/>
        <v>0.90412186379928317</v>
      </c>
      <c r="S47" s="35">
        <v>0.62548124000000005</v>
      </c>
      <c r="T47" s="35">
        <v>0.70443991106903903</v>
      </c>
      <c r="U47" s="35">
        <v>0.66496057553451959</v>
      </c>
    </row>
    <row r="48" spans="1:21">
      <c r="A48" s="35" t="s">
        <v>163</v>
      </c>
      <c r="B48" s="35" t="s">
        <v>164</v>
      </c>
      <c r="C48" s="35" t="s">
        <v>162</v>
      </c>
      <c r="D48" s="35" t="s">
        <v>1126</v>
      </c>
      <c r="E48" s="35" t="s">
        <v>1126</v>
      </c>
      <c r="G48" s="35">
        <v>0.58850000000000002</v>
      </c>
      <c r="H48" s="35" t="s">
        <v>1120</v>
      </c>
      <c r="I48" s="35">
        <v>11</v>
      </c>
      <c r="J48" s="55">
        <v>0</v>
      </c>
      <c r="K48" s="55">
        <v>0</v>
      </c>
      <c r="L48" s="55">
        <v>0.50909090909090904</v>
      </c>
      <c r="M48" s="55">
        <v>1.8181818181818181E-2</v>
      </c>
      <c r="N48" s="55">
        <v>0.19607843137254902</v>
      </c>
      <c r="O48" s="55">
        <v>0.98181818181818181</v>
      </c>
      <c r="P48" s="56">
        <f t="shared" si="3"/>
        <v>0</v>
      </c>
      <c r="Q48" s="56">
        <f t="shared" si="7"/>
        <v>0.26363636363636361</v>
      </c>
      <c r="R48" s="56">
        <f t="shared" si="6"/>
        <v>0.1071301247771836</v>
      </c>
      <c r="S48" s="35">
        <v>0.68019395000000005</v>
      </c>
      <c r="T48" s="35">
        <v>9.38646903371015E-2</v>
      </c>
      <c r="U48" s="35">
        <v>0.38702932016855079</v>
      </c>
    </row>
    <row r="49" spans="1:21">
      <c r="A49" s="35" t="s">
        <v>166</v>
      </c>
      <c r="B49" s="35" t="s">
        <v>167</v>
      </c>
      <c r="C49" s="35" t="s">
        <v>165</v>
      </c>
      <c r="D49" s="35" t="s">
        <v>1126</v>
      </c>
      <c r="E49" s="35" t="s">
        <v>1126</v>
      </c>
      <c r="G49" s="35">
        <v>0.98870000000000002</v>
      </c>
      <c r="H49" s="35" t="s">
        <v>1120</v>
      </c>
      <c r="J49" s="55">
        <v>0.46551724137931033</v>
      </c>
      <c r="K49" s="55">
        <v>0.50819672131147542</v>
      </c>
      <c r="L49" s="55">
        <v>1</v>
      </c>
      <c r="M49" s="55">
        <v>0.93103448275862066</v>
      </c>
      <c r="N49" s="55">
        <v>0.68852459016393441</v>
      </c>
      <c r="O49" s="55">
        <v>6.8965517241379309E-2</v>
      </c>
      <c r="P49" s="56">
        <f t="shared" si="3"/>
        <v>0.4868569813453929</v>
      </c>
      <c r="Q49" s="56">
        <f t="shared" si="7"/>
        <v>0.96551724137931028</v>
      </c>
      <c r="R49" s="56">
        <f t="shared" si="6"/>
        <v>0.80977953646127754</v>
      </c>
      <c r="S49" s="35">
        <v>0.25741831999999998</v>
      </c>
      <c r="T49" s="35">
        <v>0.73442538483643705</v>
      </c>
      <c r="U49" s="35">
        <v>0.49592185241821851</v>
      </c>
    </row>
    <row r="50" spans="1:21">
      <c r="A50" s="35" t="s">
        <v>172</v>
      </c>
      <c r="B50" s="35" t="s">
        <v>173</v>
      </c>
      <c r="C50" s="35" t="s">
        <v>171</v>
      </c>
      <c r="D50" s="35" t="s">
        <v>1126</v>
      </c>
      <c r="E50" s="35" t="s">
        <v>1126</v>
      </c>
      <c r="G50" s="35">
        <v>0.87160000000000004</v>
      </c>
      <c r="H50" s="35" t="s">
        <v>1120</v>
      </c>
      <c r="J50" s="55">
        <v>0.34426229508196721</v>
      </c>
      <c r="K50" s="55">
        <v>0.55555555555555558</v>
      </c>
      <c r="L50" s="55">
        <v>0.85245901639344257</v>
      </c>
      <c r="M50" s="55">
        <v>0.49180327868852458</v>
      </c>
      <c r="N50" s="55">
        <v>0.82539682539682535</v>
      </c>
      <c r="O50" s="55">
        <v>0.50819672131147542</v>
      </c>
      <c r="P50" s="56">
        <f t="shared" si="3"/>
        <v>0.44990892531876137</v>
      </c>
      <c r="Q50" s="56">
        <f t="shared" si="7"/>
        <v>0.67213114754098358</v>
      </c>
      <c r="R50" s="56">
        <f t="shared" si="6"/>
        <v>0.65860005204267491</v>
      </c>
      <c r="S50" s="35">
        <v>0.71477908000000001</v>
      </c>
      <c r="T50" s="35">
        <v>0.34652660324434398</v>
      </c>
      <c r="U50" s="35">
        <v>0.53065284162217197</v>
      </c>
    </row>
    <row r="51" spans="1:21">
      <c r="A51" s="35" t="s">
        <v>178</v>
      </c>
      <c r="B51" s="35" t="s">
        <v>179</v>
      </c>
      <c r="C51" s="35" t="s">
        <v>177</v>
      </c>
      <c r="D51" s="35" t="s">
        <v>1126</v>
      </c>
      <c r="E51" s="35" t="s">
        <v>1126</v>
      </c>
      <c r="G51" s="35">
        <v>0.99319999999999997</v>
      </c>
      <c r="H51" s="35" t="s">
        <v>1120</v>
      </c>
      <c r="J51" s="55">
        <v>0.52727272727272723</v>
      </c>
      <c r="K51" s="55">
        <v>0.50847457627118642</v>
      </c>
      <c r="L51" s="55">
        <v>0.90909090909090906</v>
      </c>
      <c r="M51" s="55">
        <v>0.5636363636363636</v>
      </c>
      <c r="N51" s="55">
        <v>0.74576271186440679</v>
      </c>
      <c r="O51" s="55">
        <v>0.43636363636363634</v>
      </c>
      <c r="P51" s="56">
        <f t="shared" si="3"/>
        <v>0.51787365177195688</v>
      </c>
      <c r="Q51" s="56">
        <f t="shared" si="7"/>
        <v>0.73636363636363633</v>
      </c>
      <c r="R51" s="56">
        <f t="shared" si="6"/>
        <v>0.65469953775038525</v>
      </c>
      <c r="S51" s="35">
        <v>0.78144917999999997</v>
      </c>
      <c r="T51" s="35">
        <v>0.48200018283262702</v>
      </c>
      <c r="U51" s="35">
        <v>0.63172468141631355</v>
      </c>
    </row>
    <row r="52" spans="1:21">
      <c r="A52" s="35" t="s">
        <v>181</v>
      </c>
      <c r="B52" s="35" t="s">
        <v>182</v>
      </c>
      <c r="C52" s="35" t="s">
        <v>180</v>
      </c>
      <c r="D52" s="35" t="s">
        <v>1126</v>
      </c>
      <c r="E52" s="35" t="s">
        <v>1126</v>
      </c>
      <c r="F52" s="35" t="s">
        <v>1115</v>
      </c>
      <c r="G52" s="35">
        <v>0.1138</v>
      </c>
      <c r="H52" s="35" t="s">
        <v>1112</v>
      </c>
      <c r="J52" s="55">
        <v>4.7619047619047616E-2</v>
      </c>
      <c r="K52" s="55">
        <v>1.8181818181818181E-2</v>
      </c>
      <c r="L52" s="55">
        <v>0.88888888888888884</v>
      </c>
      <c r="M52" s="55">
        <v>0.12698412698412698</v>
      </c>
      <c r="N52" s="55">
        <v>0.50909090909090904</v>
      </c>
      <c r="O52" s="55">
        <v>0.87301587301587302</v>
      </c>
      <c r="P52" s="56">
        <f t="shared" si="3"/>
        <v>3.2900432900432902E-2</v>
      </c>
      <c r="Q52" s="56">
        <f t="shared" si="7"/>
        <v>0.50793650793650791</v>
      </c>
      <c r="R52" s="56">
        <f t="shared" si="6"/>
        <v>0.31803751803751801</v>
      </c>
      <c r="S52" s="35">
        <v>0.24860457999999999</v>
      </c>
      <c r="T52" s="35">
        <v>0.58383300254590798</v>
      </c>
      <c r="U52" s="35">
        <v>0.41621879127295397</v>
      </c>
    </row>
    <row r="53" spans="1:21">
      <c r="A53" s="35" t="s">
        <v>184</v>
      </c>
      <c r="B53" s="35" t="s">
        <v>185</v>
      </c>
      <c r="C53" s="35" t="s">
        <v>183</v>
      </c>
      <c r="D53" s="35" t="s">
        <v>1126</v>
      </c>
      <c r="E53" s="35" t="s">
        <v>1126</v>
      </c>
      <c r="G53" s="35">
        <v>0.9597</v>
      </c>
      <c r="H53" s="35" t="s">
        <v>1120</v>
      </c>
      <c r="I53" s="35">
        <v>0.375</v>
      </c>
      <c r="J53" s="55">
        <v>0</v>
      </c>
      <c r="K53" s="55">
        <v>0.04</v>
      </c>
      <c r="L53" s="55">
        <v>0.79710144927536231</v>
      </c>
      <c r="M53" s="55">
        <v>0</v>
      </c>
      <c r="N53" s="55">
        <v>0.3</v>
      </c>
      <c r="O53" s="55">
        <v>1</v>
      </c>
      <c r="P53" s="56">
        <f t="shared" si="3"/>
        <v>0.02</v>
      </c>
      <c r="Q53" s="56">
        <f t="shared" si="7"/>
        <v>0.39855072463768115</v>
      </c>
      <c r="R53" s="56">
        <f t="shared" si="6"/>
        <v>0.15</v>
      </c>
      <c r="S53" s="35">
        <v>0.38482695</v>
      </c>
      <c r="T53" s="35">
        <v>0.36924634508389398</v>
      </c>
      <c r="U53" s="35">
        <v>0.37703664754194699</v>
      </c>
    </row>
    <row r="54" spans="1:21">
      <c r="A54" s="35" t="s">
        <v>57</v>
      </c>
      <c r="B54" s="35" t="s">
        <v>58</v>
      </c>
      <c r="C54" s="35" t="s">
        <v>56</v>
      </c>
      <c r="D54" s="35" t="s">
        <v>1127</v>
      </c>
      <c r="E54" s="35" t="s">
        <v>1126</v>
      </c>
      <c r="G54" s="35">
        <v>0.73380000000000001</v>
      </c>
      <c r="H54" s="35" t="s">
        <v>1120</v>
      </c>
      <c r="I54" s="35">
        <v>4</v>
      </c>
      <c r="J54" s="55">
        <v>0.5161290322580645</v>
      </c>
      <c r="K54" s="55">
        <v>0.18867924528301888</v>
      </c>
      <c r="L54" s="55">
        <v>0.967741935483871</v>
      </c>
      <c r="M54" s="55">
        <v>0.75806451612903225</v>
      </c>
      <c r="N54" s="55">
        <v>0.73584905660377353</v>
      </c>
      <c r="O54" s="55">
        <v>0.24193548387096775</v>
      </c>
      <c r="P54" s="56">
        <f t="shared" si="3"/>
        <v>0.35240413877054166</v>
      </c>
      <c r="Q54" s="56">
        <f t="shared" si="7"/>
        <v>0.86290322580645162</v>
      </c>
      <c r="R54" s="56">
        <f t="shared" si="6"/>
        <v>0.74695678636640284</v>
      </c>
      <c r="S54" s="35">
        <v>0.62305094000000005</v>
      </c>
      <c r="T54" s="35">
        <v>0.56370977057485105</v>
      </c>
      <c r="U54" s="35">
        <v>0.5933803552874255</v>
      </c>
    </row>
    <row r="55" spans="1:21">
      <c r="A55" s="35" t="s">
        <v>103</v>
      </c>
      <c r="B55" s="35" t="s">
        <v>77</v>
      </c>
      <c r="C55" s="35" t="s">
        <v>102</v>
      </c>
      <c r="D55" s="35" t="s">
        <v>1127</v>
      </c>
      <c r="E55" s="35" t="s">
        <v>1126</v>
      </c>
      <c r="F55" s="35" t="s">
        <v>1116</v>
      </c>
      <c r="G55" s="35">
        <v>0.52290000000000003</v>
      </c>
      <c r="H55" s="35" t="s">
        <v>1121</v>
      </c>
      <c r="J55" s="55">
        <v>0.45454545454545453</v>
      </c>
      <c r="K55" s="55">
        <v>9.0909090909090912E-2</v>
      </c>
      <c r="L55" s="55">
        <v>0.8571428571428571</v>
      </c>
      <c r="M55" s="55">
        <v>0.46753246753246752</v>
      </c>
      <c r="N55" s="55">
        <v>9.0909090909090912E-2</v>
      </c>
      <c r="O55" s="55">
        <v>0.53246753246753242</v>
      </c>
      <c r="P55" s="56">
        <f t="shared" si="3"/>
        <v>0.27272727272727271</v>
      </c>
      <c r="Q55" s="56">
        <f t="shared" si="7"/>
        <v>0.66233766233766234</v>
      </c>
      <c r="R55" s="56">
        <f t="shared" si="6"/>
        <v>0.2792207792207792</v>
      </c>
      <c r="S55" s="35">
        <v>0.54104145999999997</v>
      </c>
      <c r="T55" s="35">
        <v>0.41827167521321901</v>
      </c>
      <c r="U55" s="35">
        <v>0.47965656760660946</v>
      </c>
    </row>
    <row r="56" spans="1:21">
      <c r="A56" s="35" t="s">
        <v>13</v>
      </c>
      <c r="B56" s="35" t="s">
        <v>14</v>
      </c>
      <c r="C56" s="35" t="s">
        <v>12</v>
      </c>
      <c r="D56" s="35" t="s">
        <v>1129</v>
      </c>
      <c r="E56" s="35" t="s">
        <v>1129</v>
      </c>
      <c r="J56" s="55">
        <v>0</v>
      </c>
      <c r="K56" s="55">
        <v>0</v>
      </c>
      <c r="L56" s="55">
        <v>0.3888888888888889</v>
      </c>
      <c r="M56" s="55">
        <v>0</v>
      </c>
      <c r="N56" s="55">
        <v>0.35087719298245612</v>
      </c>
      <c r="O56" s="55">
        <v>1</v>
      </c>
      <c r="P56" s="56">
        <f t="shared" si="3"/>
        <v>0</v>
      </c>
      <c r="Q56" s="56">
        <f t="shared" si="7"/>
        <v>0.19444444444444445</v>
      </c>
      <c r="R56" s="56">
        <f t="shared" si="6"/>
        <v>0.17543859649122806</v>
      </c>
    </row>
  </sheetData>
  <sortState xmlns:xlrd2="http://schemas.microsoft.com/office/spreadsheetml/2017/richdata2" ref="A2:R56">
    <sortCondition ref="E2:E56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0646-016E-824B-ABAF-C0A68F362D74}">
  <dimension ref="A1:X62"/>
  <sheetViews>
    <sheetView workbookViewId="0">
      <selection activeCell="M22" sqref="M22"/>
    </sheetView>
  </sheetViews>
  <sheetFormatPr baseColWidth="10" defaultRowHeight="16"/>
  <cols>
    <col min="2" max="2" width="15" bestFit="1" customWidth="1"/>
    <col min="5" max="9" width="0" hidden="1" customWidth="1"/>
    <col min="10" max="10" width="8.140625" hidden="1" customWidth="1"/>
    <col min="11" max="12" width="0" hidden="1" customWidth="1"/>
    <col min="18" max="18" width="14" customWidth="1"/>
  </cols>
  <sheetData>
    <row r="1" spans="1:24">
      <c r="E1" s="1"/>
      <c r="F1" s="1"/>
      <c r="G1" s="1"/>
      <c r="H1" s="1"/>
      <c r="I1" s="1"/>
      <c r="J1" s="1"/>
      <c r="L1" s="2"/>
      <c r="M1" s="57" t="s">
        <v>205</v>
      </c>
      <c r="N1" s="58"/>
      <c r="O1" s="58"/>
      <c r="P1" s="58"/>
      <c r="Q1" s="59"/>
      <c r="R1" s="60" t="s">
        <v>206</v>
      </c>
      <c r="S1" s="61"/>
      <c r="T1" s="61"/>
      <c r="U1" s="61"/>
      <c r="V1" s="62"/>
      <c r="X1" s="2"/>
    </row>
    <row r="2" spans="1:24">
      <c r="A2" s="4" t="s">
        <v>1</v>
      </c>
      <c r="B2" s="4" t="s">
        <v>2</v>
      </c>
      <c r="C2" s="4" t="s">
        <v>3</v>
      </c>
      <c r="D2" s="5" t="s">
        <v>1</v>
      </c>
      <c r="E2" s="2" t="s">
        <v>4</v>
      </c>
      <c r="F2" s="2" t="s">
        <v>5</v>
      </c>
      <c r="G2" s="2" t="s">
        <v>6</v>
      </c>
      <c r="H2" s="2" t="s">
        <v>198</v>
      </c>
      <c r="I2" s="2" t="s">
        <v>7</v>
      </c>
      <c r="J2" s="2" t="s">
        <v>8</v>
      </c>
      <c r="K2" s="2" t="s">
        <v>199</v>
      </c>
      <c r="L2" s="2" t="s">
        <v>10</v>
      </c>
      <c r="M2" s="3" t="s">
        <v>207</v>
      </c>
      <c r="N2" s="4" t="s">
        <v>208</v>
      </c>
      <c r="O2" s="4" t="s">
        <v>209</v>
      </c>
      <c r="P2" s="4" t="s">
        <v>210</v>
      </c>
      <c r="Q2" s="5" t="s">
        <v>199</v>
      </c>
      <c r="R2" s="3" t="s">
        <v>207</v>
      </c>
      <c r="S2" s="4" t="s">
        <v>208</v>
      </c>
      <c r="T2" s="4" t="s">
        <v>209</v>
      </c>
      <c r="U2" s="4" t="s">
        <v>210</v>
      </c>
      <c r="V2" s="5" t="s">
        <v>199</v>
      </c>
      <c r="W2" s="2" t="s">
        <v>211</v>
      </c>
      <c r="X2" s="2" t="s">
        <v>10</v>
      </c>
    </row>
    <row r="3" spans="1:24">
      <c r="A3" s="7" t="s">
        <v>12</v>
      </c>
      <c r="B3" s="7" t="s">
        <v>13</v>
      </c>
      <c r="C3" s="7" t="s">
        <v>14</v>
      </c>
      <c r="D3" s="8" t="s">
        <v>12</v>
      </c>
      <c r="E3" s="9">
        <v>57</v>
      </c>
      <c r="F3" s="9">
        <v>20</v>
      </c>
      <c r="G3" s="9">
        <v>0</v>
      </c>
      <c r="H3" s="9">
        <v>23</v>
      </c>
      <c r="I3" s="10">
        <f>G3/E3</f>
        <v>0</v>
      </c>
      <c r="J3" s="10">
        <f t="shared" ref="J3:J11" si="0">F3/E3</f>
        <v>0.35087719298245612</v>
      </c>
      <c r="K3" t="s">
        <v>200</v>
      </c>
      <c r="L3" t="s">
        <v>14</v>
      </c>
      <c r="M3" s="6" t="s">
        <v>194</v>
      </c>
      <c r="N3" s="7" t="s">
        <v>212</v>
      </c>
      <c r="O3" s="7"/>
      <c r="P3" s="7"/>
      <c r="Q3" s="8"/>
      <c r="R3" s="6" t="s">
        <v>194</v>
      </c>
      <c r="S3" s="7" t="s">
        <v>212</v>
      </c>
      <c r="T3" s="7"/>
      <c r="U3" s="7"/>
      <c r="V3" s="8"/>
      <c r="X3" t="e">
        <v>#N/A</v>
      </c>
    </row>
    <row r="4" spans="1:24">
      <c r="A4" s="7" t="s">
        <v>15</v>
      </c>
      <c r="B4" s="7" t="s">
        <v>16</v>
      </c>
      <c r="C4" s="7" t="s">
        <v>17</v>
      </c>
      <c r="D4" s="8" t="s">
        <v>15</v>
      </c>
      <c r="E4" s="9">
        <v>50</v>
      </c>
      <c r="F4" s="9">
        <v>43</v>
      </c>
      <c r="G4" s="9">
        <v>29</v>
      </c>
      <c r="H4" s="9">
        <v>0</v>
      </c>
      <c r="I4" s="10">
        <f>G4/E4</f>
        <v>0.57999999999999996</v>
      </c>
      <c r="J4" s="10">
        <f t="shared" si="0"/>
        <v>0.86</v>
      </c>
      <c r="L4" t="s">
        <v>18</v>
      </c>
      <c r="M4" s="6" t="s">
        <v>213</v>
      </c>
      <c r="N4" s="7" t="s">
        <v>214</v>
      </c>
      <c r="O4" s="7" t="s">
        <v>215</v>
      </c>
      <c r="P4" s="7" t="s">
        <v>216</v>
      </c>
      <c r="Q4" s="8"/>
      <c r="R4" s="6" t="s">
        <v>213</v>
      </c>
      <c r="S4" s="7" t="s">
        <v>212</v>
      </c>
      <c r="T4" s="7" t="s">
        <v>215</v>
      </c>
      <c r="U4" s="7" t="s">
        <v>216</v>
      </c>
      <c r="V4" s="8"/>
      <c r="W4" t="b">
        <f>IF(O4=T4, TRUE)</f>
        <v>1</v>
      </c>
      <c r="X4" t="s">
        <v>18</v>
      </c>
    </row>
    <row r="5" spans="1:24">
      <c r="A5" s="7" t="s">
        <v>19</v>
      </c>
      <c r="B5" s="7" t="s">
        <v>20</v>
      </c>
      <c r="C5" s="7" t="s">
        <v>21</v>
      </c>
      <c r="D5" s="8" t="s">
        <v>19</v>
      </c>
      <c r="E5" s="9">
        <v>53</v>
      </c>
      <c r="F5" s="9">
        <v>47</v>
      </c>
      <c r="G5" s="9">
        <v>41</v>
      </c>
      <c r="H5" s="9">
        <v>0</v>
      </c>
      <c r="I5" s="10">
        <f t="shared" ref="I5:I18" si="1">G5/E5</f>
        <v>0.77358490566037741</v>
      </c>
      <c r="J5" s="10">
        <f t="shared" si="0"/>
        <v>0.8867924528301887</v>
      </c>
      <c r="L5" t="s">
        <v>18</v>
      </c>
      <c r="M5" s="6" t="s">
        <v>217</v>
      </c>
      <c r="N5" s="7" t="s">
        <v>218</v>
      </c>
      <c r="O5" s="7" t="s">
        <v>218</v>
      </c>
      <c r="P5" s="7"/>
      <c r="Q5" s="8"/>
      <c r="R5" s="6" t="s">
        <v>213</v>
      </c>
      <c r="S5" s="7" t="s">
        <v>212</v>
      </c>
      <c r="T5" s="7" t="s">
        <v>215</v>
      </c>
      <c r="U5" s="7" t="s">
        <v>216</v>
      </c>
      <c r="V5" s="8"/>
      <c r="X5" t="s">
        <v>18</v>
      </c>
    </row>
    <row r="6" spans="1:24">
      <c r="A6" s="7" t="s">
        <v>22</v>
      </c>
      <c r="B6" s="7" t="s">
        <v>23</v>
      </c>
      <c r="C6" s="7" t="s">
        <v>24</v>
      </c>
      <c r="D6" s="8" t="s">
        <v>22</v>
      </c>
      <c r="E6" s="9">
        <v>52</v>
      </c>
      <c r="F6" s="9">
        <v>34</v>
      </c>
      <c r="G6" s="9">
        <v>19</v>
      </c>
      <c r="H6" s="9">
        <v>1</v>
      </c>
      <c r="I6" s="10">
        <f t="shared" si="1"/>
        <v>0.36538461538461536</v>
      </c>
      <c r="J6" s="10">
        <f t="shared" si="0"/>
        <v>0.65384615384615385</v>
      </c>
      <c r="L6" t="s">
        <v>18</v>
      </c>
      <c r="M6" s="6" t="s">
        <v>213</v>
      </c>
      <c r="N6" s="7" t="s">
        <v>219</v>
      </c>
      <c r="O6" s="7" t="s">
        <v>215</v>
      </c>
      <c r="P6" s="7" t="s">
        <v>216</v>
      </c>
      <c r="Q6" s="8"/>
      <c r="R6" s="6" t="s">
        <v>213</v>
      </c>
      <c r="S6" s="7" t="s">
        <v>212</v>
      </c>
      <c r="T6" s="7" t="s">
        <v>215</v>
      </c>
      <c r="U6" s="7" t="s">
        <v>216</v>
      </c>
      <c r="V6" s="8"/>
      <c r="W6" t="b">
        <f t="shared" ref="W6:W62" si="2">IF(O6=T6, TRUE)</f>
        <v>1</v>
      </c>
      <c r="X6" t="s">
        <v>18</v>
      </c>
    </row>
    <row r="7" spans="1:24">
      <c r="A7" s="12" t="s">
        <v>25</v>
      </c>
      <c r="B7" s="12" t="s">
        <v>26</v>
      </c>
      <c r="C7" s="12" t="s">
        <v>27</v>
      </c>
      <c r="D7" s="13" t="s">
        <v>25</v>
      </c>
      <c r="E7" s="14">
        <v>55</v>
      </c>
      <c r="F7" s="14">
        <v>12</v>
      </c>
      <c r="G7" s="14">
        <v>0</v>
      </c>
      <c r="H7" s="14">
        <v>8</v>
      </c>
      <c r="I7" s="29">
        <f t="shared" si="1"/>
        <v>0</v>
      </c>
      <c r="J7" s="29">
        <f t="shared" si="0"/>
        <v>0.21818181818181817</v>
      </c>
      <c r="K7" t="s">
        <v>200</v>
      </c>
      <c r="L7" s="15" t="s">
        <v>28</v>
      </c>
      <c r="M7" s="11" t="s">
        <v>194</v>
      </c>
      <c r="N7" s="12" t="s">
        <v>214</v>
      </c>
      <c r="O7" s="12" t="s">
        <v>220</v>
      </c>
      <c r="P7" s="12"/>
      <c r="Q7" s="13"/>
      <c r="R7" s="11" t="s">
        <v>194</v>
      </c>
      <c r="S7" s="12" t="s">
        <v>214</v>
      </c>
      <c r="T7" s="12" t="s">
        <v>220</v>
      </c>
      <c r="U7" s="12"/>
      <c r="V7" s="13"/>
      <c r="W7" s="15" t="b">
        <f t="shared" si="2"/>
        <v>1</v>
      </c>
      <c r="X7" s="15" t="s">
        <v>28</v>
      </c>
    </row>
    <row r="8" spans="1:24">
      <c r="A8" s="7" t="s">
        <v>29</v>
      </c>
      <c r="B8" s="7" t="s">
        <v>30</v>
      </c>
      <c r="C8" s="7" t="s">
        <v>31</v>
      </c>
      <c r="D8" s="8" t="s">
        <v>29</v>
      </c>
      <c r="E8" s="9">
        <v>56</v>
      </c>
      <c r="F8" s="9">
        <v>53</v>
      </c>
      <c r="G8" s="9">
        <v>13</v>
      </c>
      <c r="H8" s="9">
        <v>0</v>
      </c>
      <c r="I8" s="10">
        <f t="shared" si="1"/>
        <v>0.23214285714285715</v>
      </c>
      <c r="J8" s="10">
        <f t="shared" si="0"/>
        <v>0.9464285714285714</v>
      </c>
      <c r="L8" t="s">
        <v>32</v>
      </c>
      <c r="M8" s="6" t="s">
        <v>213</v>
      </c>
      <c r="N8" s="7" t="s">
        <v>214</v>
      </c>
      <c r="O8" s="7" t="s">
        <v>215</v>
      </c>
      <c r="P8" s="7" t="s">
        <v>216</v>
      </c>
      <c r="Q8" s="8"/>
      <c r="R8" s="6" t="s">
        <v>213</v>
      </c>
      <c r="S8" s="7" t="s">
        <v>214</v>
      </c>
      <c r="T8" s="7" t="s">
        <v>215</v>
      </c>
      <c r="U8" s="7" t="s">
        <v>216</v>
      </c>
      <c r="V8" s="8"/>
      <c r="W8" t="b">
        <f t="shared" si="2"/>
        <v>1</v>
      </c>
      <c r="X8" t="s">
        <v>32</v>
      </c>
    </row>
    <row r="9" spans="1:24">
      <c r="A9" s="7" t="s">
        <v>33</v>
      </c>
      <c r="B9" s="7" t="s">
        <v>34</v>
      </c>
      <c r="C9" s="7" t="s">
        <v>35</v>
      </c>
      <c r="D9" s="8" t="s">
        <v>33</v>
      </c>
      <c r="E9" s="9">
        <v>55</v>
      </c>
      <c r="F9" s="9">
        <v>22</v>
      </c>
      <c r="G9" s="9">
        <v>21</v>
      </c>
      <c r="H9" s="9">
        <v>2</v>
      </c>
      <c r="I9" s="10">
        <f t="shared" si="1"/>
        <v>0.38181818181818183</v>
      </c>
      <c r="J9" s="10">
        <f t="shared" si="0"/>
        <v>0.4</v>
      </c>
      <c r="L9" t="s">
        <v>18</v>
      </c>
      <c r="M9" s="6" t="s">
        <v>221</v>
      </c>
      <c r="N9" s="7" t="s">
        <v>218</v>
      </c>
      <c r="O9" s="7" t="s">
        <v>218</v>
      </c>
      <c r="P9" s="7"/>
      <c r="Q9" s="8"/>
      <c r="R9" s="6" t="s">
        <v>222</v>
      </c>
      <c r="S9" s="7" t="s">
        <v>212</v>
      </c>
      <c r="T9" s="7" t="s">
        <v>215</v>
      </c>
      <c r="U9" s="7" t="s">
        <v>216</v>
      </c>
      <c r="V9" s="8"/>
      <c r="X9" t="s">
        <v>18</v>
      </c>
    </row>
    <row r="10" spans="1:24">
      <c r="A10" s="7" t="s">
        <v>36</v>
      </c>
      <c r="B10" s="7" t="s">
        <v>37</v>
      </c>
      <c r="C10" s="7" t="s">
        <v>38</v>
      </c>
      <c r="D10" s="8" t="s">
        <v>36</v>
      </c>
      <c r="E10" s="9">
        <v>50</v>
      </c>
      <c r="F10" s="9">
        <v>35</v>
      </c>
      <c r="G10" s="9">
        <v>28</v>
      </c>
      <c r="H10" s="9">
        <v>0</v>
      </c>
      <c r="I10" s="10">
        <f t="shared" si="1"/>
        <v>0.56000000000000005</v>
      </c>
      <c r="J10" s="10">
        <f t="shared" si="0"/>
        <v>0.7</v>
      </c>
      <c r="L10" t="s">
        <v>39</v>
      </c>
      <c r="M10" s="6" t="s">
        <v>217</v>
      </c>
      <c r="N10" s="7" t="s">
        <v>218</v>
      </c>
      <c r="O10" s="7" t="s">
        <v>218</v>
      </c>
      <c r="P10" s="7"/>
      <c r="Q10" s="8"/>
      <c r="R10" s="6" t="s">
        <v>213</v>
      </c>
      <c r="S10" s="7" t="s">
        <v>212</v>
      </c>
      <c r="T10" s="7" t="s">
        <v>215</v>
      </c>
      <c r="U10" s="7" t="s">
        <v>216</v>
      </c>
      <c r="V10" s="8"/>
      <c r="X10" t="s">
        <v>39</v>
      </c>
    </row>
    <row r="11" spans="1:24">
      <c r="A11" s="7" t="s">
        <v>40</v>
      </c>
      <c r="B11" s="7" t="s">
        <v>41</v>
      </c>
      <c r="C11" s="7" t="s">
        <v>42</v>
      </c>
      <c r="D11" s="8" t="s">
        <v>40</v>
      </c>
      <c r="E11" s="9">
        <v>55</v>
      </c>
      <c r="F11" s="9">
        <v>21</v>
      </c>
      <c r="G11" s="9">
        <v>20</v>
      </c>
      <c r="H11" s="9">
        <v>2</v>
      </c>
      <c r="I11" s="10">
        <f t="shared" si="1"/>
        <v>0.36363636363636365</v>
      </c>
      <c r="J11" s="10">
        <f t="shared" si="0"/>
        <v>0.38181818181818183</v>
      </c>
      <c r="L11" t="s">
        <v>39</v>
      </c>
      <c r="M11" s="6" t="s">
        <v>194</v>
      </c>
      <c r="N11" s="7" t="s">
        <v>212</v>
      </c>
      <c r="O11" s="7" t="s">
        <v>215</v>
      </c>
      <c r="P11" s="7" t="s">
        <v>216</v>
      </c>
      <c r="Q11" s="8"/>
      <c r="R11" s="6" t="s">
        <v>222</v>
      </c>
      <c r="S11" s="7" t="s">
        <v>212</v>
      </c>
      <c r="T11" s="7" t="s">
        <v>215</v>
      </c>
      <c r="U11" s="7" t="s">
        <v>216</v>
      </c>
      <c r="V11" s="8"/>
      <c r="W11" t="b">
        <f t="shared" si="2"/>
        <v>1</v>
      </c>
      <c r="X11" t="s">
        <v>39</v>
      </c>
    </row>
    <row r="12" spans="1:24">
      <c r="A12" s="16" t="s">
        <v>43</v>
      </c>
      <c r="B12" s="16" t="s">
        <v>44</v>
      </c>
      <c r="C12" s="16" t="s">
        <v>45</v>
      </c>
      <c r="D12" s="17" t="s">
        <v>43</v>
      </c>
      <c r="E12" s="18"/>
      <c r="F12" s="18"/>
      <c r="G12" s="18"/>
      <c r="H12" s="9"/>
      <c r="I12" s="10"/>
      <c r="J12" s="10"/>
      <c r="L12" s="9" t="s">
        <v>18</v>
      </c>
      <c r="M12" s="6" t="s">
        <v>217</v>
      </c>
      <c r="N12" s="7" t="s">
        <v>218</v>
      </c>
      <c r="O12" s="7" t="s">
        <v>218</v>
      </c>
      <c r="P12" s="7"/>
      <c r="Q12" s="8" t="s">
        <v>223</v>
      </c>
      <c r="R12" s="6" t="s">
        <v>217</v>
      </c>
      <c r="S12" s="7" t="s">
        <v>218</v>
      </c>
      <c r="T12" s="7" t="s">
        <v>218</v>
      </c>
      <c r="U12" s="7"/>
      <c r="V12" s="8"/>
      <c r="X12" s="9" t="s">
        <v>18</v>
      </c>
    </row>
    <row r="13" spans="1:24">
      <c r="A13" s="7" t="s">
        <v>46</v>
      </c>
      <c r="B13" s="7" t="s">
        <v>47</v>
      </c>
      <c r="C13" s="7" t="s">
        <v>48</v>
      </c>
      <c r="D13" s="8" t="s">
        <v>46</v>
      </c>
      <c r="E13" s="9">
        <v>50</v>
      </c>
      <c r="F13" s="9">
        <v>23</v>
      </c>
      <c r="G13" s="9">
        <v>18</v>
      </c>
      <c r="H13" s="9">
        <v>1</v>
      </c>
      <c r="I13" s="10">
        <f t="shared" si="1"/>
        <v>0.36</v>
      </c>
      <c r="J13" s="10">
        <f t="shared" ref="J13:J21" si="3">F13/E13</f>
        <v>0.46</v>
      </c>
      <c r="L13" t="s">
        <v>49</v>
      </c>
      <c r="M13" s="6" t="s">
        <v>194</v>
      </c>
      <c r="N13" s="7" t="s">
        <v>219</v>
      </c>
      <c r="O13" s="7" t="s">
        <v>215</v>
      </c>
      <c r="P13" s="7" t="s">
        <v>224</v>
      </c>
      <c r="Q13" s="8" t="s">
        <v>225</v>
      </c>
      <c r="R13" s="6" t="s">
        <v>226</v>
      </c>
      <c r="S13" s="7" t="s">
        <v>212</v>
      </c>
      <c r="T13" s="7" t="s">
        <v>215</v>
      </c>
      <c r="U13" s="7" t="s">
        <v>216</v>
      </c>
      <c r="V13" s="8"/>
      <c r="W13" t="b">
        <f t="shared" si="2"/>
        <v>1</v>
      </c>
      <c r="X13" t="s">
        <v>49</v>
      </c>
    </row>
    <row r="14" spans="1:24">
      <c r="A14" s="7" t="s">
        <v>50</v>
      </c>
      <c r="B14" s="7" t="s">
        <v>51</v>
      </c>
      <c r="C14" s="7" t="s">
        <v>52</v>
      </c>
      <c r="D14" s="8" t="s">
        <v>50</v>
      </c>
      <c r="E14" s="9">
        <v>60</v>
      </c>
      <c r="F14" s="9">
        <v>54</v>
      </c>
      <c r="G14" s="9">
        <v>47</v>
      </c>
      <c r="H14" s="9">
        <v>0</v>
      </c>
      <c r="I14" s="10">
        <f t="shared" si="1"/>
        <v>0.78333333333333333</v>
      </c>
      <c r="J14" s="10">
        <f t="shared" si="3"/>
        <v>0.9</v>
      </c>
      <c r="L14" t="s">
        <v>18</v>
      </c>
      <c r="M14" s="6" t="s">
        <v>213</v>
      </c>
      <c r="N14" s="7" t="s">
        <v>214</v>
      </c>
      <c r="O14" s="7" t="s">
        <v>215</v>
      </c>
      <c r="P14" s="7" t="s">
        <v>216</v>
      </c>
      <c r="Q14" s="8"/>
      <c r="R14" s="6" t="s">
        <v>213</v>
      </c>
      <c r="S14" s="7" t="s">
        <v>212</v>
      </c>
      <c r="T14" s="7" t="s">
        <v>215</v>
      </c>
      <c r="U14" s="7" t="s">
        <v>216</v>
      </c>
      <c r="V14" s="8"/>
      <c r="W14" t="b">
        <f t="shared" si="2"/>
        <v>1</v>
      </c>
      <c r="X14" t="s">
        <v>18</v>
      </c>
    </row>
    <row r="15" spans="1:24">
      <c r="A15" s="7" t="s">
        <v>53</v>
      </c>
      <c r="B15" s="7" t="s">
        <v>54</v>
      </c>
      <c r="C15" s="7" t="s">
        <v>55</v>
      </c>
      <c r="D15" s="8" t="s">
        <v>53</v>
      </c>
      <c r="E15" s="9">
        <v>57</v>
      </c>
      <c r="F15" s="9">
        <v>35</v>
      </c>
      <c r="G15" s="9">
        <v>49</v>
      </c>
      <c r="H15" s="9">
        <v>0</v>
      </c>
      <c r="I15" s="10">
        <f t="shared" si="1"/>
        <v>0.85964912280701755</v>
      </c>
      <c r="J15" s="10">
        <f t="shared" si="3"/>
        <v>0.61403508771929827</v>
      </c>
      <c r="L15" t="s">
        <v>32</v>
      </c>
      <c r="M15" s="6" t="s">
        <v>213</v>
      </c>
      <c r="N15" s="7" t="s">
        <v>219</v>
      </c>
      <c r="O15" s="7" t="s">
        <v>215</v>
      </c>
      <c r="P15" s="7" t="s">
        <v>227</v>
      </c>
      <c r="Q15" s="8"/>
      <c r="R15" s="6" t="s">
        <v>213</v>
      </c>
      <c r="S15" s="7" t="s">
        <v>212</v>
      </c>
      <c r="T15" s="7" t="s">
        <v>215</v>
      </c>
      <c r="U15" s="7" t="s">
        <v>216</v>
      </c>
      <c r="V15" s="8"/>
      <c r="W15" t="b">
        <f t="shared" si="2"/>
        <v>1</v>
      </c>
      <c r="X15" t="s">
        <v>32</v>
      </c>
    </row>
    <row r="16" spans="1:24">
      <c r="A16" s="7" t="s">
        <v>56</v>
      </c>
      <c r="B16" s="7" t="s">
        <v>57</v>
      </c>
      <c r="C16" s="7" t="s">
        <v>58</v>
      </c>
      <c r="D16" s="8" t="s">
        <v>56</v>
      </c>
      <c r="E16" s="9">
        <v>53</v>
      </c>
      <c r="F16" s="9">
        <v>39</v>
      </c>
      <c r="G16" s="9">
        <v>10</v>
      </c>
      <c r="H16" s="9">
        <v>0</v>
      </c>
      <c r="I16" s="10">
        <f t="shared" si="1"/>
        <v>0.18867924528301888</v>
      </c>
      <c r="J16" s="10">
        <f t="shared" si="3"/>
        <v>0.73584905660377353</v>
      </c>
      <c r="L16" t="s">
        <v>59</v>
      </c>
      <c r="M16" s="6" t="s">
        <v>222</v>
      </c>
      <c r="N16" s="7" t="s">
        <v>219</v>
      </c>
      <c r="O16" s="7" t="s">
        <v>215</v>
      </c>
      <c r="P16" s="7"/>
      <c r="Q16" s="8"/>
      <c r="R16" s="6" t="s">
        <v>222</v>
      </c>
      <c r="S16" s="7" t="s">
        <v>212</v>
      </c>
      <c r="T16" s="7" t="s">
        <v>215</v>
      </c>
      <c r="U16" s="7" t="s">
        <v>216</v>
      </c>
      <c r="V16" s="8"/>
      <c r="W16" t="b">
        <f t="shared" si="2"/>
        <v>1</v>
      </c>
      <c r="X16" t="s">
        <v>59</v>
      </c>
    </row>
    <row r="17" spans="1:24">
      <c r="A17" s="12" t="s">
        <v>60</v>
      </c>
      <c r="B17" s="12" t="s">
        <v>61</v>
      </c>
      <c r="C17" s="12" t="s">
        <v>62</v>
      </c>
      <c r="D17" s="13" t="s">
        <v>60</v>
      </c>
      <c r="E17" s="14">
        <v>54</v>
      </c>
      <c r="F17" s="14">
        <v>11</v>
      </c>
      <c r="G17" s="14">
        <v>0</v>
      </c>
      <c r="H17" s="14">
        <v>9</v>
      </c>
      <c r="I17" s="29">
        <f t="shared" si="1"/>
        <v>0</v>
      </c>
      <c r="J17" s="29">
        <f t="shared" si="3"/>
        <v>0.20370370370370369</v>
      </c>
      <c r="K17" s="15"/>
      <c r="L17" s="15" t="s">
        <v>63</v>
      </c>
      <c r="M17" s="11" t="s">
        <v>194</v>
      </c>
      <c r="N17" s="12" t="s">
        <v>219</v>
      </c>
      <c r="O17" s="12" t="s">
        <v>220</v>
      </c>
      <c r="P17" s="12"/>
      <c r="Q17" s="13"/>
      <c r="R17" s="11" t="s">
        <v>194</v>
      </c>
      <c r="S17" s="12" t="s">
        <v>212</v>
      </c>
      <c r="T17" s="12" t="s">
        <v>220</v>
      </c>
      <c r="U17" s="12"/>
      <c r="V17" s="13"/>
      <c r="W17" s="15" t="b">
        <f t="shared" si="2"/>
        <v>1</v>
      </c>
      <c r="X17" s="15" t="s">
        <v>63</v>
      </c>
    </row>
    <row r="18" spans="1:24">
      <c r="A18" s="16" t="s">
        <v>64</v>
      </c>
      <c r="B18" s="16" t="s">
        <v>65</v>
      </c>
      <c r="C18" s="16" t="s">
        <v>45</v>
      </c>
      <c r="D18" s="17" t="s">
        <v>64</v>
      </c>
      <c r="E18" s="18">
        <v>50</v>
      </c>
      <c r="F18" s="18">
        <v>50</v>
      </c>
      <c r="G18" s="18">
        <v>23</v>
      </c>
      <c r="H18" s="18">
        <v>7</v>
      </c>
      <c r="I18" s="10">
        <f t="shared" si="1"/>
        <v>0.46</v>
      </c>
      <c r="J18" s="10">
        <f t="shared" si="3"/>
        <v>1</v>
      </c>
      <c r="L18" t="s">
        <v>18</v>
      </c>
      <c r="M18" s="6" t="s">
        <v>213</v>
      </c>
      <c r="N18" s="7" t="s">
        <v>219</v>
      </c>
      <c r="O18" s="7" t="s">
        <v>215</v>
      </c>
      <c r="P18" s="7"/>
      <c r="Q18" s="8"/>
      <c r="R18" s="6" t="s">
        <v>213</v>
      </c>
      <c r="S18" s="7" t="s">
        <v>212</v>
      </c>
      <c r="T18" s="7" t="s">
        <v>215</v>
      </c>
      <c r="U18" s="7" t="s">
        <v>216</v>
      </c>
      <c r="V18" s="8"/>
      <c r="W18" t="b">
        <f t="shared" si="2"/>
        <v>1</v>
      </c>
      <c r="X18" t="s">
        <v>18</v>
      </c>
    </row>
    <row r="19" spans="1:24">
      <c r="A19" s="12" t="s">
        <v>66</v>
      </c>
      <c r="B19" s="12" t="s">
        <v>67</v>
      </c>
      <c r="C19" s="12" t="s">
        <v>68</v>
      </c>
      <c r="D19" s="13" t="s">
        <v>66</v>
      </c>
      <c r="E19" s="14">
        <v>57</v>
      </c>
      <c r="F19" s="14">
        <v>3</v>
      </c>
      <c r="G19" s="14">
        <v>0</v>
      </c>
      <c r="H19" s="14">
        <v>4</v>
      </c>
      <c r="I19" s="14">
        <f>G19/E19</f>
        <v>0</v>
      </c>
      <c r="J19" s="14">
        <f t="shared" si="3"/>
        <v>5.2631578947368418E-2</v>
      </c>
      <c r="K19" s="15"/>
      <c r="L19" s="15" t="s">
        <v>63</v>
      </c>
      <c r="M19" s="11" t="s">
        <v>194</v>
      </c>
      <c r="N19" s="12" t="s">
        <v>219</v>
      </c>
      <c r="O19" s="12" t="s">
        <v>220</v>
      </c>
      <c r="P19" s="12"/>
      <c r="Q19" s="13"/>
      <c r="R19" s="11" t="s">
        <v>194</v>
      </c>
      <c r="S19" s="12" t="s">
        <v>212</v>
      </c>
      <c r="T19" s="12" t="s">
        <v>220</v>
      </c>
      <c r="U19" s="12"/>
      <c r="V19" s="13"/>
      <c r="W19" s="15" t="b">
        <f t="shared" si="2"/>
        <v>1</v>
      </c>
      <c r="X19" s="15" t="s">
        <v>63</v>
      </c>
    </row>
    <row r="20" spans="1:24">
      <c r="A20" s="7" t="s">
        <v>69</v>
      </c>
      <c r="B20" s="7" t="s">
        <v>70</v>
      </c>
      <c r="C20" s="7" t="s">
        <v>71</v>
      </c>
      <c r="D20" s="8" t="s">
        <v>69</v>
      </c>
      <c r="E20" s="9">
        <v>50</v>
      </c>
      <c r="F20" s="9">
        <v>19</v>
      </c>
      <c r="G20" s="9">
        <v>17</v>
      </c>
      <c r="H20" s="9">
        <v>25</v>
      </c>
      <c r="I20" s="9">
        <f>G20/E20</f>
        <v>0.34</v>
      </c>
      <c r="J20" s="9">
        <f t="shared" si="3"/>
        <v>0.38</v>
      </c>
      <c r="K20" t="s">
        <v>201</v>
      </c>
      <c r="L20" t="s">
        <v>18</v>
      </c>
      <c r="M20" s="6" t="s">
        <v>222</v>
      </c>
      <c r="N20" s="7" t="s">
        <v>219</v>
      </c>
      <c r="O20" s="7" t="s">
        <v>215</v>
      </c>
      <c r="P20" s="7" t="s">
        <v>216</v>
      </c>
      <c r="Q20" s="8"/>
      <c r="R20" s="6" t="s">
        <v>194</v>
      </c>
      <c r="S20" s="7" t="s">
        <v>212</v>
      </c>
      <c r="T20" s="7" t="s">
        <v>215</v>
      </c>
      <c r="U20" s="30" t="s">
        <v>216</v>
      </c>
      <c r="V20" s="8" t="s">
        <v>228</v>
      </c>
      <c r="W20" t="b">
        <f t="shared" si="2"/>
        <v>1</v>
      </c>
      <c r="X20" t="s">
        <v>18</v>
      </c>
    </row>
    <row r="21" spans="1:24">
      <c r="A21" s="7" t="s">
        <v>72</v>
      </c>
      <c r="B21" s="7" t="s">
        <v>73</v>
      </c>
      <c r="C21" s="7" t="s">
        <v>74</v>
      </c>
      <c r="D21" s="8" t="s">
        <v>72</v>
      </c>
      <c r="E21" s="9">
        <v>66</v>
      </c>
      <c r="F21" s="9">
        <v>17</v>
      </c>
      <c r="G21" s="9">
        <v>14</v>
      </c>
      <c r="H21" s="9">
        <v>7</v>
      </c>
      <c r="I21" s="9">
        <f t="shared" ref="I21:I62" si="4">G21/E21</f>
        <v>0.21212121212121213</v>
      </c>
      <c r="J21" s="9">
        <f t="shared" si="3"/>
        <v>0.25757575757575757</v>
      </c>
      <c r="L21" t="s">
        <v>18</v>
      </c>
      <c r="M21" s="6" t="s">
        <v>226</v>
      </c>
      <c r="N21" s="7" t="s">
        <v>212</v>
      </c>
      <c r="O21" s="7" t="s">
        <v>215</v>
      </c>
      <c r="P21" s="7" t="s">
        <v>229</v>
      </c>
      <c r="Q21" s="8"/>
      <c r="R21" s="6" t="s">
        <v>226</v>
      </c>
      <c r="S21" s="7" t="s">
        <v>212</v>
      </c>
      <c r="T21" s="7" t="s">
        <v>215</v>
      </c>
      <c r="U21" s="7" t="s">
        <v>229</v>
      </c>
      <c r="V21" s="8"/>
      <c r="W21" t="b">
        <f t="shared" si="2"/>
        <v>1</v>
      </c>
      <c r="X21" t="s">
        <v>18</v>
      </c>
    </row>
    <row r="22" spans="1:24">
      <c r="A22" s="16" t="s">
        <v>75</v>
      </c>
      <c r="B22" s="16" t="s">
        <v>76</v>
      </c>
      <c r="C22" s="16" t="s">
        <v>77</v>
      </c>
      <c r="D22" s="17" t="s">
        <v>75</v>
      </c>
      <c r="E22" s="18" t="s">
        <v>230</v>
      </c>
      <c r="F22" s="18"/>
      <c r="G22" s="18"/>
      <c r="H22" s="18"/>
      <c r="I22" s="9"/>
      <c r="J22" s="9"/>
      <c r="L22" t="s">
        <v>59</v>
      </c>
      <c r="M22" s="6" t="s">
        <v>194</v>
      </c>
      <c r="N22" s="7" t="s">
        <v>214</v>
      </c>
      <c r="O22" s="7" t="s">
        <v>220</v>
      </c>
      <c r="P22" s="7"/>
      <c r="Q22" s="8"/>
      <c r="R22" s="6" t="s">
        <v>194</v>
      </c>
      <c r="S22" s="7" t="s">
        <v>219</v>
      </c>
      <c r="T22" s="7" t="s">
        <v>220</v>
      </c>
      <c r="U22" s="7"/>
      <c r="V22" s="8"/>
      <c r="W22" t="b">
        <f t="shared" si="2"/>
        <v>1</v>
      </c>
      <c r="X22" t="s">
        <v>59</v>
      </c>
    </row>
    <row r="23" spans="1:24">
      <c r="A23" s="7" t="s">
        <v>78</v>
      </c>
      <c r="B23" s="7" t="s">
        <v>79</v>
      </c>
      <c r="C23" s="7" t="s">
        <v>80</v>
      </c>
      <c r="D23" s="8" t="s">
        <v>78</v>
      </c>
      <c r="E23" s="9">
        <v>52</v>
      </c>
      <c r="F23" s="9">
        <v>14</v>
      </c>
      <c r="G23" s="9">
        <v>6</v>
      </c>
      <c r="H23" s="9">
        <v>9</v>
      </c>
      <c r="I23" s="9">
        <f t="shared" si="4"/>
        <v>0.11538461538461539</v>
      </c>
      <c r="J23" s="9">
        <f>F23/E23</f>
        <v>0.26923076923076922</v>
      </c>
      <c r="L23" t="s">
        <v>49</v>
      </c>
      <c r="M23" s="6" t="s">
        <v>217</v>
      </c>
      <c r="N23" s="7" t="s">
        <v>218</v>
      </c>
      <c r="O23" s="7" t="s">
        <v>218</v>
      </c>
      <c r="P23" s="7"/>
      <c r="Q23" s="8"/>
      <c r="R23" s="6" t="s">
        <v>194</v>
      </c>
      <c r="S23" s="7" t="s">
        <v>212</v>
      </c>
      <c r="T23" s="7" t="s">
        <v>215</v>
      </c>
      <c r="U23" s="7" t="s">
        <v>216</v>
      </c>
      <c r="V23" s="8" t="s">
        <v>231</v>
      </c>
      <c r="X23" t="s">
        <v>49</v>
      </c>
    </row>
    <row r="24" spans="1:24">
      <c r="A24" s="7" t="s">
        <v>81</v>
      </c>
      <c r="B24" s="7" t="s">
        <v>82</v>
      </c>
      <c r="C24" s="7" t="s">
        <v>83</v>
      </c>
      <c r="D24" s="8" t="s">
        <v>81</v>
      </c>
      <c r="E24" s="9">
        <v>53</v>
      </c>
      <c r="F24" s="9">
        <v>20</v>
      </c>
      <c r="G24" s="9">
        <v>19</v>
      </c>
      <c r="H24" s="9">
        <v>1</v>
      </c>
      <c r="I24" s="9">
        <f t="shared" si="4"/>
        <v>0.35849056603773582</v>
      </c>
      <c r="J24" s="9">
        <f>F24/E24</f>
        <v>0.37735849056603776</v>
      </c>
      <c r="L24" t="s">
        <v>18</v>
      </c>
      <c r="M24" s="6" t="s">
        <v>222</v>
      </c>
      <c r="N24" s="7" t="s">
        <v>214</v>
      </c>
      <c r="O24" s="7" t="s">
        <v>215</v>
      </c>
      <c r="P24" s="7" t="s">
        <v>216</v>
      </c>
      <c r="Q24" s="8"/>
      <c r="R24" s="6" t="s">
        <v>222</v>
      </c>
      <c r="S24" s="7" t="s">
        <v>212</v>
      </c>
      <c r="T24" s="7" t="s">
        <v>215</v>
      </c>
      <c r="U24" s="7" t="s">
        <v>216</v>
      </c>
      <c r="V24" s="8"/>
      <c r="W24" t="b">
        <f t="shared" si="2"/>
        <v>1</v>
      </c>
      <c r="X24" t="s">
        <v>18</v>
      </c>
    </row>
    <row r="25" spans="1:24">
      <c r="A25" s="16" t="s">
        <v>84</v>
      </c>
      <c r="B25" s="16" t="s">
        <v>85</v>
      </c>
      <c r="C25" s="16" t="s">
        <v>86</v>
      </c>
      <c r="D25" s="17" t="s">
        <v>84</v>
      </c>
      <c r="E25" s="18"/>
      <c r="F25" s="18"/>
      <c r="G25" s="18"/>
      <c r="H25" s="18"/>
      <c r="I25" s="9"/>
      <c r="J25" s="9"/>
      <c r="L25" t="s">
        <v>32</v>
      </c>
      <c r="M25" s="6" t="s">
        <v>217</v>
      </c>
      <c r="N25" s="7" t="s">
        <v>218</v>
      </c>
      <c r="O25" s="7" t="s">
        <v>218</v>
      </c>
      <c r="P25" s="7"/>
      <c r="Q25" s="8"/>
      <c r="R25" s="6" t="s">
        <v>222</v>
      </c>
      <c r="S25" s="7" t="s">
        <v>212</v>
      </c>
      <c r="T25" s="7" t="s">
        <v>215</v>
      </c>
      <c r="U25" s="7" t="s">
        <v>216</v>
      </c>
      <c r="V25" s="8"/>
      <c r="X25" t="s">
        <v>32</v>
      </c>
    </row>
    <row r="26" spans="1:24">
      <c r="A26" s="7" t="s">
        <v>87</v>
      </c>
      <c r="B26" s="7" t="s">
        <v>88</v>
      </c>
      <c r="C26" s="7" t="s">
        <v>89</v>
      </c>
      <c r="D26" s="8" t="s">
        <v>87</v>
      </c>
      <c r="E26" s="9">
        <v>50</v>
      </c>
      <c r="F26" s="9">
        <v>50</v>
      </c>
      <c r="G26" s="9">
        <v>36</v>
      </c>
      <c r="H26" s="9">
        <v>0</v>
      </c>
      <c r="I26" s="9">
        <f t="shared" si="4"/>
        <v>0.72</v>
      </c>
      <c r="J26" s="9">
        <f t="shared" ref="J26:J62" si="5">F26/E26</f>
        <v>1</v>
      </c>
      <c r="L26" t="s">
        <v>18</v>
      </c>
      <c r="M26" s="6" t="s">
        <v>222</v>
      </c>
      <c r="N26" s="7" t="s">
        <v>219</v>
      </c>
      <c r="O26" s="7" t="s">
        <v>215</v>
      </c>
      <c r="P26" s="7" t="s">
        <v>216</v>
      </c>
      <c r="Q26" s="8"/>
      <c r="R26" s="6" t="s">
        <v>222</v>
      </c>
      <c r="S26" s="7" t="s">
        <v>212</v>
      </c>
      <c r="T26" s="7" t="s">
        <v>215</v>
      </c>
      <c r="U26" s="7" t="s">
        <v>216</v>
      </c>
      <c r="V26" s="8"/>
      <c r="W26" t="b">
        <f t="shared" si="2"/>
        <v>1</v>
      </c>
      <c r="X26" t="s">
        <v>18</v>
      </c>
    </row>
    <row r="27" spans="1:24">
      <c r="A27" s="7" t="s">
        <v>90</v>
      </c>
      <c r="B27" s="7" t="s">
        <v>91</v>
      </c>
      <c r="C27" s="7" t="s">
        <v>92</v>
      </c>
      <c r="D27" s="8" t="s">
        <v>90</v>
      </c>
      <c r="E27" s="9">
        <v>52</v>
      </c>
      <c r="F27" s="9">
        <v>28</v>
      </c>
      <c r="G27" s="9">
        <v>0</v>
      </c>
      <c r="H27" s="9">
        <v>16</v>
      </c>
      <c r="I27" s="9">
        <f t="shared" si="4"/>
        <v>0</v>
      </c>
      <c r="J27" s="9">
        <f t="shared" si="5"/>
        <v>0.53846153846153844</v>
      </c>
      <c r="K27" t="s">
        <v>202</v>
      </c>
      <c r="L27" t="s">
        <v>39</v>
      </c>
      <c r="M27" s="6" t="s">
        <v>217</v>
      </c>
      <c r="N27" s="7" t="s">
        <v>218</v>
      </c>
      <c r="O27" s="7" t="s">
        <v>218</v>
      </c>
      <c r="P27" s="7"/>
      <c r="Q27" s="8"/>
      <c r="R27" s="6" t="s">
        <v>194</v>
      </c>
      <c r="S27" s="7" t="s">
        <v>212</v>
      </c>
      <c r="T27" s="7" t="s">
        <v>220</v>
      </c>
      <c r="U27" s="7"/>
      <c r="V27" s="8"/>
      <c r="X27" t="s">
        <v>39</v>
      </c>
    </row>
    <row r="28" spans="1:24">
      <c r="A28" s="7" t="s">
        <v>93</v>
      </c>
      <c r="B28" s="7" t="s">
        <v>94</v>
      </c>
      <c r="C28" s="7" t="s">
        <v>95</v>
      </c>
      <c r="D28" s="8" t="s">
        <v>93</v>
      </c>
      <c r="E28" s="9">
        <v>55</v>
      </c>
      <c r="F28" s="9">
        <v>32</v>
      </c>
      <c r="G28" s="9">
        <v>14</v>
      </c>
      <c r="H28" s="9">
        <v>1</v>
      </c>
      <c r="I28" s="9">
        <f t="shared" si="4"/>
        <v>0.25454545454545452</v>
      </c>
      <c r="J28" s="9">
        <f t="shared" si="5"/>
        <v>0.58181818181818179</v>
      </c>
      <c r="L28" t="s">
        <v>59</v>
      </c>
      <c r="M28" s="6" t="s">
        <v>213</v>
      </c>
      <c r="N28" s="7" t="s">
        <v>232</v>
      </c>
      <c r="O28" s="7" t="s">
        <v>215</v>
      </c>
      <c r="P28" s="7" t="s">
        <v>216</v>
      </c>
      <c r="Q28" s="8"/>
      <c r="R28" s="6" t="s">
        <v>222</v>
      </c>
      <c r="S28" s="7" t="s">
        <v>212</v>
      </c>
      <c r="T28" s="7" t="s">
        <v>215</v>
      </c>
      <c r="U28" s="7" t="s">
        <v>216</v>
      </c>
      <c r="V28" s="8"/>
      <c r="W28" t="b">
        <f t="shared" si="2"/>
        <v>1</v>
      </c>
      <c r="X28" t="s">
        <v>59</v>
      </c>
    </row>
    <row r="29" spans="1:24">
      <c r="A29" s="7" t="s">
        <v>96</v>
      </c>
      <c r="B29" s="7" t="s">
        <v>97</v>
      </c>
      <c r="C29" s="7" t="s">
        <v>98</v>
      </c>
      <c r="D29" s="8" t="s">
        <v>96</v>
      </c>
      <c r="E29" s="9">
        <v>55</v>
      </c>
      <c r="F29" s="9">
        <v>8</v>
      </c>
      <c r="G29" s="9">
        <v>7</v>
      </c>
      <c r="H29" s="9">
        <v>0</v>
      </c>
      <c r="I29" s="9">
        <f t="shared" si="4"/>
        <v>0.12727272727272726</v>
      </c>
      <c r="J29" s="9">
        <f t="shared" si="5"/>
        <v>0.14545454545454545</v>
      </c>
      <c r="K29" t="s">
        <v>203</v>
      </c>
      <c r="L29" t="s">
        <v>18</v>
      </c>
      <c r="M29" s="6" t="s">
        <v>213</v>
      </c>
      <c r="N29" s="7" t="s">
        <v>233</v>
      </c>
      <c r="O29" s="7" t="s">
        <v>215</v>
      </c>
      <c r="P29" s="7" t="s">
        <v>216</v>
      </c>
      <c r="Q29" s="8"/>
      <c r="R29" s="6" t="s">
        <v>194</v>
      </c>
      <c r="S29" s="7" t="s">
        <v>214</v>
      </c>
      <c r="T29" s="7" t="s">
        <v>215</v>
      </c>
      <c r="U29" s="30" t="s">
        <v>216</v>
      </c>
      <c r="V29" s="8" t="s">
        <v>228</v>
      </c>
      <c r="W29" t="b">
        <f t="shared" si="2"/>
        <v>1</v>
      </c>
      <c r="X29" t="s">
        <v>18</v>
      </c>
    </row>
    <row r="30" spans="1:24">
      <c r="A30" s="7" t="s">
        <v>99</v>
      </c>
      <c r="B30" s="7" t="s">
        <v>100</v>
      </c>
      <c r="C30" s="7" t="s">
        <v>101</v>
      </c>
      <c r="D30" s="8" t="s">
        <v>99</v>
      </c>
      <c r="E30" s="9">
        <v>53</v>
      </c>
      <c r="F30" s="9">
        <v>44</v>
      </c>
      <c r="G30" s="9">
        <v>21</v>
      </c>
      <c r="H30" s="9">
        <v>0</v>
      </c>
      <c r="I30" s="9">
        <f t="shared" si="4"/>
        <v>0.39622641509433965</v>
      </c>
      <c r="J30" s="9">
        <f t="shared" si="5"/>
        <v>0.83018867924528306</v>
      </c>
      <c r="L30" t="s">
        <v>18</v>
      </c>
      <c r="M30" s="6" t="s">
        <v>213</v>
      </c>
      <c r="N30" s="7" t="s">
        <v>219</v>
      </c>
      <c r="O30" s="7" t="s">
        <v>215</v>
      </c>
      <c r="P30" s="7" t="s">
        <v>216</v>
      </c>
      <c r="Q30" s="8"/>
      <c r="R30" s="6" t="s">
        <v>213</v>
      </c>
      <c r="S30" s="7" t="s">
        <v>212</v>
      </c>
      <c r="T30" s="7" t="s">
        <v>215</v>
      </c>
      <c r="U30" s="7" t="s">
        <v>216</v>
      </c>
      <c r="V30" s="8"/>
      <c r="W30" t="b">
        <f t="shared" si="2"/>
        <v>1</v>
      </c>
      <c r="X30" t="s">
        <v>18</v>
      </c>
    </row>
    <row r="31" spans="1:24">
      <c r="A31" s="16" t="s">
        <v>102</v>
      </c>
      <c r="B31" s="16" t="s">
        <v>103</v>
      </c>
      <c r="C31" s="16" t="s">
        <v>77</v>
      </c>
      <c r="D31" s="17" t="s">
        <v>102</v>
      </c>
      <c r="E31" s="18">
        <v>66</v>
      </c>
      <c r="F31" s="18">
        <v>6</v>
      </c>
      <c r="G31" s="18">
        <v>6</v>
      </c>
      <c r="H31" s="18">
        <v>11</v>
      </c>
      <c r="I31" s="9">
        <f t="shared" si="4"/>
        <v>9.0909090909090912E-2</v>
      </c>
      <c r="J31" s="9">
        <f t="shared" si="5"/>
        <v>9.0909090909090912E-2</v>
      </c>
      <c r="L31" t="s">
        <v>59</v>
      </c>
      <c r="M31" s="6" t="s">
        <v>194</v>
      </c>
      <c r="N31" s="7" t="s">
        <v>219</v>
      </c>
      <c r="O31" s="7" t="s">
        <v>220</v>
      </c>
      <c r="P31" s="7"/>
      <c r="Q31" s="8"/>
      <c r="R31" s="6" t="s">
        <v>194</v>
      </c>
      <c r="S31" s="7" t="s">
        <v>212</v>
      </c>
      <c r="T31" s="7" t="s">
        <v>215</v>
      </c>
      <c r="U31" s="7" t="s">
        <v>216</v>
      </c>
      <c r="V31" s="8" t="s">
        <v>231</v>
      </c>
      <c r="W31" t="b">
        <f t="shared" si="2"/>
        <v>0</v>
      </c>
      <c r="X31" t="s">
        <v>59</v>
      </c>
    </row>
    <row r="32" spans="1:24">
      <c r="A32" s="7" t="s">
        <v>107</v>
      </c>
      <c r="B32" s="7" t="s">
        <v>134</v>
      </c>
      <c r="C32" s="7" t="s">
        <v>135</v>
      </c>
      <c r="D32" s="8" t="s">
        <v>107</v>
      </c>
      <c r="E32" s="9">
        <v>61</v>
      </c>
      <c r="F32" s="9">
        <v>9</v>
      </c>
      <c r="G32" s="9">
        <v>0</v>
      </c>
      <c r="H32" s="9">
        <v>5</v>
      </c>
      <c r="I32" s="9">
        <f t="shared" si="4"/>
        <v>0</v>
      </c>
      <c r="J32" s="9">
        <f t="shared" si="5"/>
        <v>0.14754098360655737</v>
      </c>
      <c r="L32" t="s">
        <v>136</v>
      </c>
      <c r="M32" s="6" t="s">
        <v>234</v>
      </c>
      <c r="N32" s="7" t="s">
        <v>219</v>
      </c>
      <c r="O32" s="7" t="s">
        <v>220</v>
      </c>
      <c r="P32" s="7"/>
      <c r="Q32" s="8"/>
      <c r="R32" s="6" t="s">
        <v>194</v>
      </c>
      <c r="S32" s="7" t="s">
        <v>212</v>
      </c>
      <c r="T32" s="7" t="s">
        <v>220</v>
      </c>
      <c r="U32" s="7"/>
      <c r="V32" s="8"/>
      <c r="W32" t="b">
        <f t="shared" si="2"/>
        <v>1</v>
      </c>
      <c r="X32" t="s">
        <v>136</v>
      </c>
    </row>
    <row r="33" spans="1:24">
      <c r="A33" s="7" t="s">
        <v>108</v>
      </c>
      <c r="B33" s="7" t="s">
        <v>109</v>
      </c>
      <c r="C33" s="7" t="s">
        <v>110</v>
      </c>
      <c r="D33" s="8" t="s">
        <v>108</v>
      </c>
      <c r="E33" s="9">
        <v>51</v>
      </c>
      <c r="F33" s="9">
        <v>26</v>
      </c>
      <c r="G33" s="9">
        <v>30</v>
      </c>
      <c r="H33" s="9">
        <v>2</v>
      </c>
      <c r="I33" s="9">
        <f t="shared" si="4"/>
        <v>0.58823529411764708</v>
      </c>
      <c r="J33" s="9">
        <f t="shared" si="5"/>
        <v>0.50980392156862742</v>
      </c>
      <c r="L33" t="s">
        <v>49</v>
      </c>
      <c r="M33" s="6" t="s">
        <v>194</v>
      </c>
      <c r="N33" s="7" t="s">
        <v>219</v>
      </c>
      <c r="O33" s="7" t="s">
        <v>215</v>
      </c>
      <c r="P33" s="7" t="s">
        <v>216</v>
      </c>
      <c r="Q33" s="8"/>
      <c r="R33" s="6" t="s">
        <v>226</v>
      </c>
      <c r="S33" s="7" t="s">
        <v>212</v>
      </c>
      <c r="T33" s="7" t="s">
        <v>215</v>
      </c>
      <c r="U33" s="7" t="s">
        <v>216</v>
      </c>
      <c r="V33" s="8"/>
      <c r="W33" t="b">
        <f t="shared" si="2"/>
        <v>1</v>
      </c>
      <c r="X33" t="s">
        <v>49</v>
      </c>
    </row>
    <row r="34" spans="1:24">
      <c r="A34" s="7" t="s">
        <v>111</v>
      </c>
      <c r="B34" s="7" t="s">
        <v>112</v>
      </c>
      <c r="C34" s="7" t="s">
        <v>113</v>
      </c>
      <c r="D34" s="8" t="s">
        <v>111</v>
      </c>
      <c r="E34" s="9">
        <v>63</v>
      </c>
      <c r="F34" s="9">
        <v>55</v>
      </c>
      <c r="G34" s="9">
        <v>22</v>
      </c>
      <c r="H34" s="9">
        <v>0</v>
      </c>
      <c r="I34" s="9">
        <f t="shared" si="4"/>
        <v>0.34920634920634919</v>
      </c>
      <c r="J34" s="9">
        <f t="shared" si="5"/>
        <v>0.87301587301587302</v>
      </c>
      <c r="L34" t="s">
        <v>18</v>
      </c>
      <c r="M34" s="6" t="s">
        <v>222</v>
      </c>
      <c r="N34" s="7" t="s">
        <v>219</v>
      </c>
      <c r="O34" s="7" t="s">
        <v>215</v>
      </c>
      <c r="P34" s="7" t="s">
        <v>229</v>
      </c>
      <c r="Q34" s="8"/>
      <c r="R34" s="6" t="s">
        <v>213</v>
      </c>
      <c r="S34" s="7" t="s">
        <v>212</v>
      </c>
      <c r="T34" s="7" t="s">
        <v>215</v>
      </c>
      <c r="U34" s="7" t="s">
        <v>216</v>
      </c>
      <c r="V34" s="8"/>
      <c r="W34" t="b">
        <f t="shared" si="2"/>
        <v>1</v>
      </c>
      <c r="X34" t="s">
        <v>18</v>
      </c>
    </row>
    <row r="35" spans="1:24">
      <c r="A35" s="7" t="s">
        <v>114</v>
      </c>
      <c r="B35" s="7" t="s">
        <v>115</v>
      </c>
      <c r="C35" s="7" t="s">
        <v>116</v>
      </c>
      <c r="D35" s="8" t="s">
        <v>114</v>
      </c>
      <c r="E35" s="9">
        <v>75</v>
      </c>
      <c r="F35" s="9">
        <v>41</v>
      </c>
      <c r="G35" s="9">
        <v>28</v>
      </c>
      <c r="H35" s="9">
        <v>0</v>
      </c>
      <c r="I35" s="9">
        <f t="shared" si="4"/>
        <v>0.37333333333333335</v>
      </c>
      <c r="J35" s="9">
        <f t="shared" si="5"/>
        <v>0.54666666666666663</v>
      </c>
      <c r="L35" t="s">
        <v>18</v>
      </c>
      <c r="M35" s="6" t="s">
        <v>217</v>
      </c>
      <c r="N35" s="7" t="s">
        <v>218</v>
      </c>
      <c r="O35" s="7" t="s">
        <v>218</v>
      </c>
      <c r="P35" s="7"/>
      <c r="Q35" s="8" t="s">
        <v>235</v>
      </c>
      <c r="R35" s="6" t="s">
        <v>222</v>
      </c>
      <c r="S35" s="7" t="s">
        <v>212</v>
      </c>
      <c r="T35" s="7" t="s">
        <v>215</v>
      </c>
      <c r="U35" s="7" t="s">
        <v>216</v>
      </c>
      <c r="V35" s="8"/>
      <c r="X35" t="s">
        <v>18</v>
      </c>
    </row>
    <row r="36" spans="1:24">
      <c r="A36" s="7" t="s">
        <v>117</v>
      </c>
      <c r="B36" s="7" t="s">
        <v>118</v>
      </c>
      <c r="C36" s="7" t="s">
        <v>119</v>
      </c>
      <c r="D36" s="8" t="s">
        <v>117</v>
      </c>
      <c r="E36" s="9">
        <v>63</v>
      </c>
      <c r="F36" s="9">
        <v>56</v>
      </c>
      <c r="G36" s="9">
        <v>29</v>
      </c>
      <c r="H36" s="9">
        <v>0</v>
      </c>
      <c r="I36" s="9">
        <f t="shared" si="4"/>
        <v>0.46031746031746029</v>
      </c>
      <c r="J36" s="9">
        <f t="shared" si="5"/>
        <v>0.88888888888888884</v>
      </c>
      <c r="L36" t="s">
        <v>39</v>
      </c>
      <c r="M36" s="6" t="s">
        <v>217</v>
      </c>
      <c r="N36" s="7" t="s">
        <v>218</v>
      </c>
      <c r="O36" s="7" t="s">
        <v>218</v>
      </c>
      <c r="P36" s="7"/>
      <c r="Q36" s="8" t="s">
        <v>235</v>
      </c>
      <c r="R36" s="6" t="s">
        <v>213</v>
      </c>
      <c r="S36" s="7" t="s">
        <v>212</v>
      </c>
      <c r="T36" s="7" t="s">
        <v>215</v>
      </c>
      <c r="U36" s="7" t="s">
        <v>216</v>
      </c>
      <c r="V36" s="8"/>
      <c r="X36" t="s">
        <v>39</v>
      </c>
    </row>
    <row r="37" spans="1:24">
      <c r="A37" s="7" t="s">
        <v>120</v>
      </c>
      <c r="B37" s="7" t="s">
        <v>121</v>
      </c>
      <c r="C37" s="7" t="s">
        <v>122</v>
      </c>
      <c r="D37" s="8" t="s">
        <v>120</v>
      </c>
      <c r="E37" s="9">
        <v>58</v>
      </c>
      <c r="F37" s="9">
        <v>15</v>
      </c>
      <c r="G37" s="9">
        <v>0</v>
      </c>
      <c r="H37" s="9">
        <v>14</v>
      </c>
      <c r="I37" s="9">
        <f t="shared" si="4"/>
        <v>0</v>
      </c>
      <c r="J37" s="9">
        <f t="shared" si="5"/>
        <v>0.25862068965517243</v>
      </c>
      <c r="L37" t="s">
        <v>59</v>
      </c>
      <c r="M37" s="6" t="s">
        <v>194</v>
      </c>
      <c r="N37" s="7" t="s">
        <v>219</v>
      </c>
      <c r="O37" s="7" t="s">
        <v>220</v>
      </c>
      <c r="P37" s="7"/>
      <c r="Q37" s="8"/>
      <c r="R37" s="6" t="s">
        <v>194</v>
      </c>
      <c r="S37" s="7" t="s">
        <v>212</v>
      </c>
      <c r="T37" s="7" t="s">
        <v>215</v>
      </c>
      <c r="U37" s="7" t="s">
        <v>216</v>
      </c>
      <c r="V37" s="8" t="s">
        <v>231</v>
      </c>
      <c r="W37" t="b">
        <f t="shared" si="2"/>
        <v>0</v>
      </c>
      <c r="X37" t="s">
        <v>59</v>
      </c>
    </row>
    <row r="38" spans="1:24">
      <c r="A38" s="7" t="s">
        <v>123</v>
      </c>
      <c r="B38" s="7" t="s">
        <v>124</v>
      </c>
      <c r="C38" s="7" t="s">
        <v>125</v>
      </c>
      <c r="D38" s="8" t="s">
        <v>123</v>
      </c>
      <c r="E38" s="9">
        <v>59</v>
      </c>
      <c r="F38" s="9">
        <v>56</v>
      </c>
      <c r="G38" s="9">
        <v>24</v>
      </c>
      <c r="H38" s="9">
        <v>0</v>
      </c>
      <c r="I38" s="9">
        <f t="shared" si="4"/>
        <v>0.40677966101694918</v>
      </c>
      <c r="J38" s="9">
        <f t="shared" si="5"/>
        <v>0.94915254237288138</v>
      </c>
      <c r="L38" t="s">
        <v>18</v>
      </c>
      <c r="M38" s="6" t="s">
        <v>213</v>
      </c>
      <c r="N38" s="7" t="s">
        <v>219</v>
      </c>
      <c r="O38" s="7" t="s">
        <v>215</v>
      </c>
      <c r="P38" s="7" t="s">
        <v>210</v>
      </c>
      <c r="Q38" s="8"/>
      <c r="R38" s="6" t="s">
        <v>213</v>
      </c>
      <c r="S38" s="7" t="s">
        <v>212</v>
      </c>
      <c r="T38" s="7" t="s">
        <v>215</v>
      </c>
      <c r="U38" s="7" t="s">
        <v>216</v>
      </c>
      <c r="V38" s="8"/>
      <c r="W38" t="b">
        <f t="shared" si="2"/>
        <v>1</v>
      </c>
      <c r="X38" t="s">
        <v>18</v>
      </c>
    </row>
    <row r="39" spans="1:24">
      <c r="A39" s="7" t="s">
        <v>126</v>
      </c>
      <c r="B39" s="7" t="s">
        <v>127</v>
      </c>
      <c r="C39" s="7" t="s">
        <v>128</v>
      </c>
      <c r="D39" s="8" t="s">
        <v>126</v>
      </c>
      <c r="E39" s="9">
        <v>52</v>
      </c>
      <c r="F39" s="9">
        <v>16</v>
      </c>
      <c r="G39" s="9">
        <v>15</v>
      </c>
      <c r="H39" s="9">
        <v>20</v>
      </c>
      <c r="I39" s="9">
        <f t="shared" si="4"/>
        <v>0.28846153846153844</v>
      </c>
      <c r="J39" s="9">
        <f t="shared" si="5"/>
        <v>0.30769230769230771</v>
      </c>
      <c r="L39" t="s">
        <v>18</v>
      </c>
      <c r="M39" s="6" t="s">
        <v>217</v>
      </c>
      <c r="N39" s="7" t="s">
        <v>218</v>
      </c>
      <c r="O39" s="7" t="s">
        <v>218</v>
      </c>
      <c r="P39" s="7"/>
      <c r="Q39" s="8" t="s">
        <v>223</v>
      </c>
      <c r="R39" s="6" t="s">
        <v>194</v>
      </c>
      <c r="S39" s="7" t="s">
        <v>212</v>
      </c>
      <c r="T39" s="7" t="s">
        <v>215</v>
      </c>
      <c r="U39" s="30" t="s">
        <v>216</v>
      </c>
      <c r="V39" s="8" t="s">
        <v>228</v>
      </c>
      <c r="X39" t="s">
        <v>18</v>
      </c>
    </row>
    <row r="40" spans="1:24">
      <c r="A40" s="7" t="s">
        <v>129</v>
      </c>
      <c r="B40" s="7" t="s">
        <v>130</v>
      </c>
      <c r="C40" s="7" t="s">
        <v>131</v>
      </c>
      <c r="D40" s="8" t="s">
        <v>129</v>
      </c>
      <c r="E40" s="9">
        <v>66</v>
      </c>
      <c r="F40" s="9">
        <v>54</v>
      </c>
      <c r="G40" s="9">
        <v>28</v>
      </c>
      <c r="H40" s="9">
        <v>0</v>
      </c>
      <c r="I40" s="9">
        <f t="shared" si="4"/>
        <v>0.42424242424242425</v>
      </c>
      <c r="J40" s="9">
        <f t="shared" si="5"/>
        <v>0.81818181818181823</v>
      </c>
      <c r="L40" t="s">
        <v>18</v>
      </c>
      <c r="M40" s="6" t="s">
        <v>213</v>
      </c>
      <c r="N40" s="7" t="s">
        <v>212</v>
      </c>
      <c r="O40" s="7" t="s">
        <v>215</v>
      </c>
      <c r="P40" s="7" t="s">
        <v>216</v>
      </c>
      <c r="Q40" s="8"/>
      <c r="R40" s="6" t="s">
        <v>213</v>
      </c>
      <c r="S40" s="7" t="s">
        <v>212</v>
      </c>
      <c r="T40" s="7" t="s">
        <v>215</v>
      </c>
      <c r="U40" s="7" t="s">
        <v>216</v>
      </c>
      <c r="V40" s="8"/>
      <c r="W40" t="b">
        <f t="shared" si="2"/>
        <v>1</v>
      </c>
      <c r="X40" t="s">
        <v>18</v>
      </c>
    </row>
    <row r="41" spans="1:24">
      <c r="A41" s="7" t="s">
        <v>132</v>
      </c>
      <c r="B41" s="7" t="s">
        <v>133</v>
      </c>
      <c r="C41" s="7"/>
      <c r="D41" s="8" t="s">
        <v>132</v>
      </c>
      <c r="E41" s="9"/>
      <c r="F41" s="9"/>
      <c r="G41" s="9"/>
      <c r="H41" s="9"/>
      <c r="I41" s="9" t="e">
        <f t="shared" si="4"/>
        <v>#DIV/0!</v>
      </c>
      <c r="J41" s="9" t="e">
        <f t="shared" si="5"/>
        <v>#DIV/0!</v>
      </c>
      <c r="M41" s="6"/>
      <c r="N41" s="7"/>
      <c r="O41" s="7"/>
      <c r="P41" s="7"/>
      <c r="Q41" s="8"/>
      <c r="R41" s="6"/>
      <c r="S41" s="7"/>
      <c r="T41" s="7"/>
      <c r="U41" s="7"/>
      <c r="V41" s="8"/>
      <c r="W41" t="b">
        <f t="shared" si="2"/>
        <v>1</v>
      </c>
    </row>
    <row r="42" spans="1:24">
      <c r="A42" s="7" t="s">
        <v>104</v>
      </c>
      <c r="B42" s="7" t="s">
        <v>105</v>
      </c>
      <c r="C42" s="7" t="s">
        <v>106</v>
      </c>
      <c r="D42" s="8" t="s">
        <v>104</v>
      </c>
      <c r="E42" s="9">
        <v>51</v>
      </c>
      <c r="F42" s="9">
        <v>25</v>
      </c>
      <c r="G42" s="9">
        <v>12</v>
      </c>
      <c r="H42" s="9">
        <v>0</v>
      </c>
      <c r="I42" s="9">
        <f t="shared" si="4"/>
        <v>0.23529411764705882</v>
      </c>
      <c r="J42" s="9">
        <f t="shared" si="5"/>
        <v>0.49019607843137253</v>
      </c>
      <c r="L42" t="s">
        <v>18</v>
      </c>
      <c r="M42" s="31" t="s">
        <v>213</v>
      </c>
      <c r="N42" s="32" t="s">
        <v>219</v>
      </c>
      <c r="O42" s="32" t="s">
        <v>215</v>
      </c>
      <c r="P42" s="32" t="s">
        <v>216</v>
      </c>
      <c r="Q42" s="33"/>
      <c r="R42" s="6" t="s">
        <v>222</v>
      </c>
      <c r="S42" s="7" t="s">
        <v>212</v>
      </c>
      <c r="T42" s="7" t="s">
        <v>215</v>
      </c>
      <c r="U42" s="7" t="s">
        <v>216</v>
      </c>
      <c r="V42" s="8"/>
      <c r="W42" t="b">
        <f t="shared" si="2"/>
        <v>1</v>
      </c>
      <c r="X42" t="s">
        <v>18</v>
      </c>
    </row>
    <row r="43" spans="1:24">
      <c r="A43" s="7" t="s">
        <v>137</v>
      </c>
      <c r="B43" s="7" t="s">
        <v>138</v>
      </c>
      <c r="C43" s="7" t="s">
        <v>139</v>
      </c>
      <c r="D43" s="8" t="s">
        <v>137</v>
      </c>
      <c r="E43" s="9">
        <v>61</v>
      </c>
      <c r="F43" s="9">
        <v>59</v>
      </c>
      <c r="G43" s="9">
        <v>30</v>
      </c>
      <c r="H43" s="9">
        <v>0</v>
      </c>
      <c r="I43" s="9">
        <f t="shared" si="4"/>
        <v>0.49180327868852458</v>
      </c>
      <c r="J43" s="9">
        <f t="shared" si="5"/>
        <v>0.96721311475409832</v>
      </c>
      <c r="L43" t="s">
        <v>18</v>
      </c>
      <c r="M43" s="6" t="s">
        <v>236</v>
      </c>
      <c r="N43" s="7" t="s">
        <v>219</v>
      </c>
      <c r="O43" s="7" t="s">
        <v>215</v>
      </c>
      <c r="P43" s="7"/>
      <c r="Q43" s="8" t="s">
        <v>237</v>
      </c>
      <c r="R43" s="6" t="s">
        <v>213</v>
      </c>
      <c r="S43" s="7" t="s">
        <v>212</v>
      </c>
      <c r="T43" s="7" t="s">
        <v>215</v>
      </c>
      <c r="U43" s="7" t="s">
        <v>216</v>
      </c>
      <c r="V43" s="8"/>
      <c r="W43" t="b">
        <f t="shared" si="2"/>
        <v>1</v>
      </c>
      <c r="X43" t="s">
        <v>18</v>
      </c>
    </row>
    <row r="44" spans="1:24">
      <c r="A44" s="7" t="s">
        <v>140</v>
      </c>
      <c r="B44" s="7" t="s">
        <v>141</v>
      </c>
      <c r="C44" s="7" t="s">
        <v>142</v>
      </c>
      <c r="D44" s="8" t="s">
        <v>140</v>
      </c>
      <c r="E44" s="9">
        <v>55</v>
      </c>
      <c r="F44" s="9">
        <v>9</v>
      </c>
      <c r="G44" s="9">
        <v>0</v>
      </c>
      <c r="H44" s="9">
        <v>15</v>
      </c>
      <c r="I44" s="9">
        <f t="shared" si="4"/>
        <v>0</v>
      </c>
      <c r="J44" s="9">
        <f t="shared" si="5"/>
        <v>0.16363636363636364</v>
      </c>
      <c r="K44" t="s">
        <v>204</v>
      </c>
      <c r="L44" t="s">
        <v>49</v>
      </c>
      <c r="M44" s="6" t="s">
        <v>217</v>
      </c>
      <c r="N44" s="7" t="s">
        <v>218</v>
      </c>
      <c r="O44" s="7" t="s">
        <v>218</v>
      </c>
      <c r="P44" s="7"/>
      <c r="Q44" s="8"/>
      <c r="R44" s="6" t="s">
        <v>194</v>
      </c>
      <c r="S44" s="7" t="s">
        <v>212</v>
      </c>
      <c r="T44" s="7" t="s">
        <v>215</v>
      </c>
      <c r="U44" s="7" t="s">
        <v>216</v>
      </c>
      <c r="V44" s="8" t="s">
        <v>231</v>
      </c>
      <c r="X44" t="s">
        <v>49</v>
      </c>
    </row>
    <row r="45" spans="1:24">
      <c r="A45" s="7" t="s">
        <v>143</v>
      </c>
      <c r="B45" s="7" t="s">
        <v>144</v>
      </c>
      <c r="C45" s="7" t="s">
        <v>145</v>
      </c>
      <c r="D45" s="8" t="s">
        <v>143</v>
      </c>
      <c r="E45" s="9">
        <v>56</v>
      </c>
      <c r="F45" s="9">
        <v>33</v>
      </c>
      <c r="G45" s="9">
        <v>15</v>
      </c>
      <c r="H45" s="9">
        <v>0</v>
      </c>
      <c r="I45" s="9">
        <f t="shared" si="4"/>
        <v>0.26785714285714285</v>
      </c>
      <c r="J45" s="9">
        <f t="shared" si="5"/>
        <v>0.5892857142857143</v>
      </c>
      <c r="L45" t="s">
        <v>18</v>
      </c>
      <c r="M45" s="6" t="s">
        <v>226</v>
      </c>
      <c r="N45" s="7" t="s">
        <v>219</v>
      </c>
      <c r="O45" s="7" t="s">
        <v>215</v>
      </c>
      <c r="P45" s="7" t="s">
        <v>229</v>
      </c>
      <c r="Q45" s="8"/>
      <c r="R45" s="6" t="s">
        <v>222</v>
      </c>
      <c r="S45" s="7" t="s">
        <v>212</v>
      </c>
      <c r="T45" s="7" t="s">
        <v>215</v>
      </c>
      <c r="U45" s="7" t="s">
        <v>216</v>
      </c>
      <c r="V45" s="8"/>
      <c r="W45" t="b">
        <f t="shared" si="2"/>
        <v>1</v>
      </c>
      <c r="X45" t="s">
        <v>18</v>
      </c>
    </row>
    <row r="46" spans="1:24">
      <c r="A46" s="7" t="s">
        <v>146</v>
      </c>
      <c r="B46" s="7" t="s">
        <v>147</v>
      </c>
      <c r="C46" s="7" t="s">
        <v>148</v>
      </c>
      <c r="D46" s="8" t="s">
        <v>146</v>
      </c>
      <c r="E46" s="9" t="s">
        <v>230</v>
      </c>
      <c r="F46" s="9"/>
      <c r="G46" s="9"/>
      <c r="H46" s="9"/>
      <c r="I46" s="9" t="e">
        <f t="shared" si="4"/>
        <v>#VALUE!</v>
      </c>
      <c r="J46" s="9" t="e">
        <f t="shared" si="5"/>
        <v>#VALUE!</v>
      </c>
      <c r="L46" t="s">
        <v>18</v>
      </c>
      <c r="M46" s="6" t="s">
        <v>217</v>
      </c>
      <c r="N46" s="7" t="s">
        <v>218</v>
      </c>
      <c r="O46" s="7" t="s">
        <v>218</v>
      </c>
      <c r="P46" s="7"/>
      <c r="Q46" s="8"/>
      <c r="R46" s="6" t="s">
        <v>217</v>
      </c>
      <c r="S46" s="7" t="s">
        <v>218</v>
      </c>
      <c r="T46" s="7" t="s">
        <v>218</v>
      </c>
      <c r="U46" s="7"/>
      <c r="V46" s="8"/>
      <c r="X46" t="s">
        <v>18</v>
      </c>
    </row>
    <row r="47" spans="1:24">
      <c r="A47" s="7" t="s">
        <v>149</v>
      </c>
      <c r="B47" s="7" t="s">
        <v>150</v>
      </c>
      <c r="C47" s="7" t="s">
        <v>151</v>
      </c>
      <c r="D47" s="8" t="s">
        <v>149</v>
      </c>
      <c r="E47" s="9">
        <v>58</v>
      </c>
      <c r="F47" s="9">
        <v>0</v>
      </c>
      <c r="G47" s="9">
        <v>0</v>
      </c>
      <c r="H47" s="9">
        <v>5</v>
      </c>
      <c r="I47" s="9">
        <f t="shared" si="4"/>
        <v>0</v>
      </c>
      <c r="J47" s="9">
        <f t="shared" si="5"/>
        <v>0</v>
      </c>
      <c r="L47" t="s">
        <v>63</v>
      </c>
      <c r="M47" s="6" t="s">
        <v>217</v>
      </c>
      <c r="N47" s="7" t="s">
        <v>218</v>
      </c>
      <c r="O47" s="7" t="s">
        <v>218</v>
      </c>
      <c r="P47" s="7"/>
      <c r="Q47" s="8"/>
      <c r="R47" s="6" t="s">
        <v>194</v>
      </c>
      <c r="S47" s="7" t="s">
        <v>212</v>
      </c>
      <c r="T47" s="7" t="s">
        <v>220</v>
      </c>
      <c r="U47" s="7"/>
      <c r="V47" s="8"/>
      <c r="X47" t="s">
        <v>63</v>
      </c>
    </row>
    <row r="48" spans="1:24">
      <c r="A48" s="7" t="s">
        <v>152</v>
      </c>
      <c r="B48" s="7" t="s">
        <v>153</v>
      </c>
      <c r="C48" s="7" t="s">
        <v>154</v>
      </c>
      <c r="D48" s="8" t="s">
        <v>152</v>
      </c>
      <c r="E48" s="9">
        <v>55</v>
      </c>
      <c r="F48" s="9">
        <v>51</v>
      </c>
      <c r="G48" s="9">
        <v>34</v>
      </c>
      <c r="H48" s="9">
        <v>0</v>
      </c>
      <c r="I48" s="9">
        <f t="shared" si="4"/>
        <v>0.61818181818181817</v>
      </c>
      <c r="J48" s="9">
        <f t="shared" si="5"/>
        <v>0.92727272727272725</v>
      </c>
      <c r="L48" t="s">
        <v>18</v>
      </c>
      <c r="M48" s="6" t="s">
        <v>222</v>
      </c>
      <c r="N48" s="7" t="s">
        <v>219</v>
      </c>
      <c r="O48" s="7" t="s">
        <v>215</v>
      </c>
      <c r="P48" s="7" t="s">
        <v>216</v>
      </c>
      <c r="Q48" s="8"/>
      <c r="R48" s="6" t="s">
        <v>213</v>
      </c>
      <c r="S48" s="7" t="s">
        <v>212</v>
      </c>
      <c r="T48" s="7" t="s">
        <v>215</v>
      </c>
      <c r="U48" s="7" t="s">
        <v>216</v>
      </c>
      <c r="V48" s="8"/>
      <c r="W48" t="b">
        <f t="shared" si="2"/>
        <v>1</v>
      </c>
      <c r="X48" t="s">
        <v>18</v>
      </c>
    </row>
    <row r="49" spans="1:24">
      <c r="A49" s="7" t="s">
        <v>155</v>
      </c>
      <c r="B49" s="7" t="s">
        <v>156</v>
      </c>
      <c r="C49" s="7" t="s">
        <v>157</v>
      </c>
      <c r="D49" s="8" t="s">
        <v>155</v>
      </c>
      <c r="E49" s="9">
        <v>51</v>
      </c>
      <c r="F49" s="9">
        <v>8</v>
      </c>
      <c r="G49" s="9">
        <v>5</v>
      </c>
      <c r="H49" s="9">
        <v>7</v>
      </c>
      <c r="I49" s="9">
        <f t="shared" si="4"/>
        <v>9.8039215686274508E-2</v>
      </c>
      <c r="J49" s="9">
        <f t="shared" si="5"/>
        <v>0.15686274509803921</v>
      </c>
      <c r="L49" t="s">
        <v>18</v>
      </c>
      <c r="M49" s="6" t="s">
        <v>217</v>
      </c>
      <c r="N49" s="7" t="s">
        <v>218</v>
      </c>
      <c r="O49" s="7" t="s">
        <v>218</v>
      </c>
      <c r="P49" s="7"/>
      <c r="Q49" s="8"/>
      <c r="R49" s="6" t="s">
        <v>194</v>
      </c>
      <c r="S49" s="7" t="s">
        <v>212</v>
      </c>
      <c r="T49" s="7" t="s">
        <v>220</v>
      </c>
      <c r="U49" s="7"/>
      <c r="V49" s="8"/>
      <c r="X49" t="s">
        <v>18</v>
      </c>
    </row>
    <row r="50" spans="1:24">
      <c r="A50" s="7" t="s">
        <v>158</v>
      </c>
      <c r="B50" s="7" t="s">
        <v>159</v>
      </c>
      <c r="C50" s="7" t="s">
        <v>160</v>
      </c>
      <c r="D50" s="8" t="s">
        <v>158</v>
      </c>
      <c r="E50" s="9">
        <v>51</v>
      </c>
      <c r="F50" s="9">
        <v>51</v>
      </c>
      <c r="G50" s="9">
        <v>17</v>
      </c>
      <c r="H50" s="9">
        <v>0</v>
      </c>
      <c r="I50" s="9">
        <f t="shared" si="4"/>
        <v>0.33333333333333331</v>
      </c>
      <c r="J50" s="9">
        <f t="shared" si="5"/>
        <v>1</v>
      </c>
      <c r="L50" t="s">
        <v>18</v>
      </c>
      <c r="M50" s="6" t="s">
        <v>213</v>
      </c>
      <c r="N50" s="7" t="s">
        <v>219</v>
      </c>
      <c r="O50" s="7" t="s">
        <v>215</v>
      </c>
      <c r="P50" s="7"/>
      <c r="Q50" s="8"/>
      <c r="R50" s="6" t="s">
        <v>213</v>
      </c>
      <c r="S50" s="7" t="s">
        <v>212</v>
      </c>
      <c r="T50" s="7" t="s">
        <v>215</v>
      </c>
      <c r="U50" s="7" t="s">
        <v>216</v>
      </c>
      <c r="V50" s="8"/>
      <c r="W50" t="b">
        <f t="shared" si="2"/>
        <v>1</v>
      </c>
      <c r="X50" t="s">
        <v>18</v>
      </c>
    </row>
    <row r="51" spans="1:24">
      <c r="A51" s="20" t="s">
        <v>161</v>
      </c>
      <c r="B51" s="20" t="s">
        <v>13</v>
      </c>
      <c r="C51" s="20"/>
      <c r="D51" s="21" t="s">
        <v>161</v>
      </c>
      <c r="E51" s="22"/>
      <c r="F51" s="22"/>
      <c r="G51" s="22"/>
      <c r="H51" s="22"/>
      <c r="I51" s="9" t="e">
        <f t="shared" si="4"/>
        <v>#DIV/0!</v>
      </c>
      <c r="J51" s="9" t="e">
        <f t="shared" si="5"/>
        <v>#DIV/0!</v>
      </c>
      <c r="L51" s="23" t="e">
        <v>#N/A</v>
      </c>
      <c r="M51" s="19" t="s">
        <v>213</v>
      </c>
      <c r="N51" s="20" t="s">
        <v>219</v>
      </c>
      <c r="O51" s="20" t="s">
        <v>238</v>
      </c>
      <c r="P51" s="20"/>
      <c r="Q51" s="21" t="s">
        <v>239</v>
      </c>
      <c r="R51" s="19" t="s">
        <v>213</v>
      </c>
      <c r="S51" s="20" t="s">
        <v>219</v>
      </c>
      <c r="T51" s="20" t="s">
        <v>238</v>
      </c>
      <c r="U51" s="20" t="s">
        <v>239</v>
      </c>
      <c r="V51" s="21"/>
      <c r="X51" s="23" t="e">
        <v>#N/A</v>
      </c>
    </row>
    <row r="52" spans="1:24">
      <c r="A52" s="7" t="s">
        <v>162</v>
      </c>
      <c r="B52" s="7" t="s">
        <v>163</v>
      </c>
      <c r="C52" s="7" t="s">
        <v>164</v>
      </c>
      <c r="D52" s="8" t="s">
        <v>162</v>
      </c>
      <c r="E52" s="9">
        <v>51</v>
      </c>
      <c r="F52" s="9">
        <v>10</v>
      </c>
      <c r="G52" s="9">
        <v>0</v>
      </c>
      <c r="H52" s="9">
        <v>0</v>
      </c>
      <c r="I52" s="9">
        <f t="shared" si="4"/>
        <v>0</v>
      </c>
      <c r="J52" s="9">
        <f t="shared" si="5"/>
        <v>0.19607843137254902</v>
      </c>
      <c r="L52" t="s">
        <v>39</v>
      </c>
      <c r="M52" s="6" t="s">
        <v>226</v>
      </c>
      <c r="N52" s="7" t="s">
        <v>240</v>
      </c>
      <c r="O52" s="7" t="s">
        <v>215</v>
      </c>
      <c r="P52" s="7"/>
      <c r="Q52" s="8"/>
      <c r="R52" s="6" t="s">
        <v>194</v>
      </c>
      <c r="S52" s="7" t="s">
        <v>214</v>
      </c>
      <c r="T52" s="7" t="s">
        <v>220</v>
      </c>
      <c r="U52" s="7"/>
      <c r="V52" s="8"/>
      <c r="W52" t="b">
        <f t="shared" si="2"/>
        <v>0</v>
      </c>
      <c r="X52" t="s">
        <v>39</v>
      </c>
    </row>
    <row r="53" spans="1:24">
      <c r="A53" s="7" t="s">
        <v>165</v>
      </c>
      <c r="B53" s="7" t="s">
        <v>166</v>
      </c>
      <c r="C53" s="7" t="s">
        <v>167</v>
      </c>
      <c r="D53" s="8" t="s">
        <v>165</v>
      </c>
      <c r="E53" s="9">
        <v>61</v>
      </c>
      <c r="F53" s="9">
        <v>42</v>
      </c>
      <c r="G53" s="9">
        <v>31</v>
      </c>
      <c r="H53" s="9">
        <v>0</v>
      </c>
      <c r="I53" s="9">
        <f t="shared" si="4"/>
        <v>0.50819672131147542</v>
      </c>
      <c r="J53" s="9">
        <f t="shared" si="5"/>
        <v>0.68852459016393441</v>
      </c>
      <c r="L53" t="s">
        <v>39</v>
      </c>
      <c r="M53" s="6" t="s">
        <v>213</v>
      </c>
      <c r="N53" s="7" t="s">
        <v>219</v>
      </c>
      <c r="O53" s="7" t="s">
        <v>215</v>
      </c>
      <c r="P53" s="7" t="s">
        <v>216</v>
      </c>
      <c r="Q53" s="8"/>
      <c r="R53" s="6" t="s">
        <v>222</v>
      </c>
      <c r="S53" s="7" t="s">
        <v>212</v>
      </c>
      <c r="T53" s="7" t="s">
        <v>215</v>
      </c>
      <c r="U53" s="7" t="s">
        <v>216</v>
      </c>
      <c r="V53" s="8"/>
      <c r="W53" t="b">
        <f t="shared" si="2"/>
        <v>1</v>
      </c>
      <c r="X53" t="s">
        <v>39</v>
      </c>
    </row>
    <row r="54" spans="1:24">
      <c r="A54" s="7" t="s">
        <v>168</v>
      </c>
      <c r="B54" s="7" t="s">
        <v>169</v>
      </c>
      <c r="C54" s="7" t="s">
        <v>170</v>
      </c>
      <c r="D54" s="8" t="s">
        <v>168</v>
      </c>
      <c r="E54" s="9">
        <v>59</v>
      </c>
      <c r="F54" s="9">
        <v>52</v>
      </c>
      <c r="G54" s="9">
        <v>40</v>
      </c>
      <c r="H54" s="9">
        <v>0</v>
      </c>
      <c r="I54" s="9">
        <f t="shared" si="4"/>
        <v>0.67796610169491522</v>
      </c>
      <c r="J54" s="9">
        <f t="shared" si="5"/>
        <v>0.88135593220338981</v>
      </c>
      <c r="L54" t="s">
        <v>18</v>
      </c>
      <c r="M54" s="6" t="s">
        <v>213</v>
      </c>
      <c r="N54" s="7" t="s">
        <v>219</v>
      </c>
      <c r="O54" s="7" t="s">
        <v>215</v>
      </c>
      <c r="P54" s="7" t="s">
        <v>216</v>
      </c>
      <c r="Q54" s="8"/>
      <c r="R54" s="6" t="s">
        <v>213</v>
      </c>
      <c r="S54" s="7" t="s">
        <v>212</v>
      </c>
      <c r="T54" s="7" t="s">
        <v>215</v>
      </c>
      <c r="U54" s="7" t="s">
        <v>216</v>
      </c>
      <c r="V54" s="8"/>
      <c r="W54" t="b">
        <f t="shared" si="2"/>
        <v>1</v>
      </c>
      <c r="X54" t="s">
        <v>18</v>
      </c>
    </row>
    <row r="55" spans="1:24">
      <c r="A55" s="7" t="s">
        <v>171</v>
      </c>
      <c r="B55" s="7" t="s">
        <v>172</v>
      </c>
      <c r="C55" s="7" t="s">
        <v>173</v>
      </c>
      <c r="D55" s="8" t="s">
        <v>171</v>
      </c>
      <c r="E55" s="9">
        <v>63</v>
      </c>
      <c r="F55" s="9">
        <v>52</v>
      </c>
      <c r="G55" s="9">
        <v>35</v>
      </c>
      <c r="H55" s="9">
        <v>0</v>
      </c>
      <c r="I55" s="9">
        <f t="shared" si="4"/>
        <v>0.55555555555555558</v>
      </c>
      <c r="J55" s="9">
        <f t="shared" si="5"/>
        <v>0.82539682539682535</v>
      </c>
      <c r="L55" t="s">
        <v>39</v>
      </c>
      <c r="M55" s="6" t="s">
        <v>217</v>
      </c>
      <c r="N55" s="7" t="s">
        <v>218</v>
      </c>
      <c r="O55" s="7" t="s">
        <v>218</v>
      </c>
      <c r="P55" s="7"/>
      <c r="Q55" s="8"/>
      <c r="R55" s="6" t="s">
        <v>222</v>
      </c>
      <c r="S55" s="7" t="s">
        <v>212</v>
      </c>
      <c r="T55" s="7" t="s">
        <v>215</v>
      </c>
      <c r="U55" s="7" t="s">
        <v>216</v>
      </c>
      <c r="V55" s="8"/>
      <c r="X55" t="s">
        <v>39</v>
      </c>
    </row>
    <row r="56" spans="1:24">
      <c r="A56" s="7" t="s">
        <v>174</v>
      </c>
      <c r="B56" s="7" t="s">
        <v>175</v>
      </c>
      <c r="C56" s="7" t="s">
        <v>176</v>
      </c>
      <c r="D56" s="8" t="s">
        <v>174</v>
      </c>
      <c r="E56" s="9">
        <v>51</v>
      </c>
      <c r="F56" s="9">
        <v>5</v>
      </c>
      <c r="G56" s="9">
        <v>0</v>
      </c>
      <c r="H56" s="9">
        <v>0</v>
      </c>
      <c r="I56" s="9">
        <f t="shared" si="4"/>
        <v>0</v>
      </c>
      <c r="J56" s="9">
        <f t="shared" si="5"/>
        <v>9.8039215686274508E-2</v>
      </c>
      <c r="L56" t="s">
        <v>28</v>
      </c>
      <c r="M56" s="6" t="s">
        <v>194</v>
      </c>
      <c r="N56" s="7" t="s">
        <v>212</v>
      </c>
      <c r="O56" s="7" t="s">
        <v>220</v>
      </c>
      <c r="P56" s="7"/>
      <c r="Q56" s="8"/>
      <c r="R56" s="6" t="s">
        <v>194</v>
      </c>
      <c r="S56" s="7" t="s">
        <v>212</v>
      </c>
      <c r="T56" s="7" t="s">
        <v>220</v>
      </c>
      <c r="U56" s="7"/>
      <c r="V56" s="8"/>
      <c r="W56" t="b">
        <f t="shared" si="2"/>
        <v>1</v>
      </c>
      <c r="X56" t="s">
        <v>28</v>
      </c>
    </row>
    <row r="57" spans="1:24">
      <c r="A57" s="7" t="s">
        <v>177</v>
      </c>
      <c r="B57" s="7" t="s">
        <v>178</v>
      </c>
      <c r="C57" s="7" t="s">
        <v>179</v>
      </c>
      <c r="D57" s="8" t="s">
        <v>177</v>
      </c>
      <c r="E57" s="9">
        <v>59</v>
      </c>
      <c r="F57" s="9">
        <v>44</v>
      </c>
      <c r="G57" s="9">
        <v>30</v>
      </c>
      <c r="H57" s="9">
        <v>0</v>
      </c>
      <c r="I57" s="9">
        <f t="shared" si="4"/>
        <v>0.50847457627118642</v>
      </c>
      <c r="J57" s="9">
        <f t="shared" si="5"/>
        <v>0.74576271186440679</v>
      </c>
      <c r="L57" t="s">
        <v>39</v>
      </c>
      <c r="M57" s="6" t="s">
        <v>213</v>
      </c>
      <c r="N57" s="7" t="s">
        <v>219</v>
      </c>
      <c r="O57" s="7" t="s">
        <v>215</v>
      </c>
      <c r="P57" s="7" t="s">
        <v>216</v>
      </c>
      <c r="Q57" s="8"/>
      <c r="R57" s="6" t="s">
        <v>213</v>
      </c>
      <c r="S57" s="7" t="s">
        <v>212</v>
      </c>
      <c r="T57" s="7" t="s">
        <v>215</v>
      </c>
      <c r="U57" s="7" t="s">
        <v>216</v>
      </c>
      <c r="V57" s="8"/>
      <c r="W57" t="b">
        <f t="shared" si="2"/>
        <v>1</v>
      </c>
      <c r="X57" t="s">
        <v>39</v>
      </c>
    </row>
    <row r="58" spans="1:24">
      <c r="A58" s="7" t="s">
        <v>180</v>
      </c>
      <c r="B58" s="7" t="s">
        <v>181</v>
      </c>
      <c r="C58" s="7" t="s">
        <v>182</v>
      </c>
      <c r="D58" s="8" t="s">
        <v>180</v>
      </c>
      <c r="E58" s="9">
        <v>55</v>
      </c>
      <c r="F58" s="9">
        <v>28</v>
      </c>
      <c r="G58" s="9">
        <v>1</v>
      </c>
      <c r="H58" s="9">
        <v>13</v>
      </c>
      <c r="I58" s="9">
        <f t="shared" si="4"/>
        <v>1.8181818181818181E-2</v>
      </c>
      <c r="J58" s="9">
        <f t="shared" si="5"/>
        <v>0.50909090909090904</v>
      </c>
      <c r="L58" t="s">
        <v>39</v>
      </c>
      <c r="M58" s="6" t="s">
        <v>194</v>
      </c>
      <c r="N58" s="7" t="s">
        <v>219</v>
      </c>
      <c r="O58" s="7" t="s">
        <v>220</v>
      </c>
      <c r="P58" s="7"/>
      <c r="Q58" s="8"/>
      <c r="R58" s="6" t="s">
        <v>194</v>
      </c>
      <c r="S58" s="7" t="s">
        <v>212</v>
      </c>
      <c r="T58" s="7" t="s">
        <v>220</v>
      </c>
      <c r="U58" s="7"/>
      <c r="V58" s="8"/>
      <c r="W58" t="b">
        <f t="shared" si="2"/>
        <v>1</v>
      </c>
      <c r="X58" t="s">
        <v>39</v>
      </c>
    </row>
    <row r="59" spans="1:24">
      <c r="A59" s="7" t="s">
        <v>183</v>
      </c>
      <c r="B59" s="7" t="s">
        <v>184</v>
      </c>
      <c r="C59" s="7" t="s">
        <v>185</v>
      </c>
      <c r="D59" s="8" t="s">
        <v>183</v>
      </c>
      <c r="E59" s="9">
        <v>50</v>
      </c>
      <c r="F59" s="9">
        <v>15</v>
      </c>
      <c r="G59" s="9">
        <v>2</v>
      </c>
      <c r="H59" s="9">
        <v>17</v>
      </c>
      <c r="I59" s="9">
        <f t="shared" si="4"/>
        <v>0.04</v>
      </c>
      <c r="J59" s="9">
        <f t="shared" si="5"/>
        <v>0.3</v>
      </c>
      <c r="L59" t="s">
        <v>39</v>
      </c>
      <c r="M59" s="6" t="s">
        <v>194</v>
      </c>
      <c r="N59" s="7" t="s">
        <v>214</v>
      </c>
      <c r="O59" s="7" t="s">
        <v>220</v>
      </c>
      <c r="P59" s="7"/>
      <c r="Q59" s="8"/>
      <c r="R59" s="6" t="s">
        <v>194</v>
      </c>
      <c r="S59" s="7" t="s">
        <v>212</v>
      </c>
      <c r="T59" s="7" t="s">
        <v>220</v>
      </c>
      <c r="U59" s="7"/>
      <c r="V59" s="8"/>
      <c r="W59" t="b">
        <f t="shared" si="2"/>
        <v>1</v>
      </c>
      <c r="X59" t="s">
        <v>39</v>
      </c>
    </row>
    <row r="60" spans="1:24">
      <c r="A60" s="7" t="s">
        <v>186</v>
      </c>
      <c r="B60" s="7" t="s">
        <v>187</v>
      </c>
      <c r="C60" s="7" t="s">
        <v>188</v>
      </c>
      <c r="D60" s="8" t="s">
        <v>186</v>
      </c>
      <c r="E60" s="9">
        <v>54</v>
      </c>
      <c r="F60" s="9">
        <v>32</v>
      </c>
      <c r="G60" s="9">
        <v>15</v>
      </c>
      <c r="H60" s="9">
        <v>0</v>
      </c>
      <c r="I60" s="9">
        <f t="shared" si="4"/>
        <v>0.27777777777777779</v>
      </c>
      <c r="J60" s="9">
        <f t="shared" si="5"/>
        <v>0.59259259259259256</v>
      </c>
      <c r="L60" t="s">
        <v>18</v>
      </c>
      <c r="M60" s="6" t="s">
        <v>241</v>
      </c>
      <c r="N60" s="7" t="s">
        <v>212</v>
      </c>
      <c r="O60" s="7" t="s">
        <v>215</v>
      </c>
      <c r="P60" s="7" t="s">
        <v>216</v>
      </c>
      <c r="Q60" s="8"/>
      <c r="R60" s="6" t="s">
        <v>226</v>
      </c>
      <c r="S60" s="7" t="s">
        <v>214</v>
      </c>
      <c r="T60" s="7" t="s">
        <v>215</v>
      </c>
      <c r="U60" s="7" t="s">
        <v>216</v>
      </c>
      <c r="V60" s="8"/>
      <c r="W60" t="b">
        <f t="shared" si="2"/>
        <v>1</v>
      </c>
      <c r="X60" t="s">
        <v>18</v>
      </c>
    </row>
    <row r="61" spans="1:24">
      <c r="A61" s="16" t="s">
        <v>189</v>
      </c>
      <c r="B61" s="16" t="s">
        <v>190</v>
      </c>
      <c r="C61" s="16" t="s">
        <v>86</v>
      </c>
      <c r="D61" s="17" t="s">
        <v>189</v>
      </c>
      <c r="E61" s="18">
        <v>29</v>
      </c>
      <c r="F61" s="18">
        <v>26</v>
      </c>
      <c r="G61" s="18">
        <v>8</v>
      </c>
      <c r="H61" s="18">
        <v>0</v>
      </c>
      <c r="I61" s="9">
        <f t="shared" si="4"/>
        <v>0.27586206896551724</v>
      </c>
      <c r="J61" s="9">
        <f t="shared" si="5"/>
        <v>0.89655172413793105</v>
      </c>
      <c r="L61" t="s">
        <v>32</v>
      </c>
      <c r="M61" s="6" t="s">
        <v>213</v>
      </c>
      <c r="N61" s="7" t="s">
        <v>219</v>
      </c>
      <c r="O61" s="7" t="s">
        <v>215</v>
      </c>
      <c r="P61" s="7" t="s">
        <v>242</v>
      </c>
      <c r="Q61" s="8"/>
      <c r="R61" s="6" t="s">
        <v>213</v>
      </c>
      <c r="S61" s="7" t="s">
        <v>219</v>
      </c>
      <c r="T61" s="7" t="s">
        <v>215</v>
      </c>
      <c r="U61" s="7" t="s">
        <v>216</v>
      </c>
      <c r="V61" s="8"/>
      <c r="W61" t="b">
        <f t="shared" si="2"/>
        <v>1</v>
      </c>
      <c r="X61" t="s">
        <v>32</v>
      </c>
    </row>
    <row r="62" spans="1:24" ht="17" thickBot="1">
      <c r="A62" s="25" t="s">
        <v>191</v>
      </c>
      <c r="B62" s="25" t="s">
        <v>192</v>
      </c>
      <c r="C62" s="25" t="s">
        <v>193</v>
      </c>
      <c r="D62" s="26" t="s">
        <v>191</v>
      </c>
      <c r="E62" s="27">
        <v>60</v>
      </c>
      <c r="F62" s="27">
        <v>60</v>
      </c>
      <c r="G62" s="27">
        <v>28</v>
      </c>
      <c r="H62" s="27">
        <v>0</v>
      </c>
      <c r="I62" s="9">
        <f t="shared" si="4"/>
        <v>0.46666666666666667</v>
      </c>
      <c r="J62" s="9">
        <f t="shared" si="5"/>
        <v>1</v>
      </c>
      <c r="L62" t="s">
        <v>18</v>
      </c>
      <c r="M62" s="24" t="s">
        <v>241</v>
      </c>
      <c r="N62" s="25" t="s">
        <v>212</v>
      </c>
      <c r="O62" s="25" t="s">
        <v>215</v>
      </c>
      <c r="P62" s="25" t="s">
        <v>216</v>
      </c>
      <c r="Q62" s="26"/>
      <c r="R62" s="24" t="s">
        <v>213</v>
      </c>
      <c r="S62" s="25" t="s">
        <v>212</v>
      </c>
      <c r="T62" s="25" t="s">
        <v>215</v>
      </c>
      <c r="U62" s="25" t="s">
        <v>216</v>
      </c>
      <c r="V62" s="26"/>
      <c r="W62" t="b">
        <f t="shared" si="2"/>
        <v>1</v>
      </c>
      <c r="X62" t="s">
        <v>18</v>
      </c>
    </row>
  </sheetData>
  <mergeCells count="2">
    <mergeCell ref="M1:Q1"/>
    <mergeCell ref="R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DF30-4BA0-3749-8D98-493122A93F1B}">
  <dimension ref="A1:K380"/>
  <sheetViews>
    <sheetView zoomScale="140" zoomScaleNormal="140" workbookViewId="0">
      <selection activeCell="H3" sqref="H3"/>
    </sheetView>
  </sheetViews>
  <sheetFormatPr baseColWidth="10" defaultRowHeight="15" customHeight="1"/>
  <cols>
    <col min="1" max="2" width="16.140625" style="35" customWidth="1"/>
    <col min="3" max="9" width="12.7109375" style="35" customWidth="1"/>
    <col min="10" max="10" width="21" style="35" customWidth="1"/>
    <col min="11" max="11" width="36.5703125" style="35" customWidth="1"/>
    <col min="12" max="16384" width="10.7109375" style="35"/>
  </cols>
  <sheetData>
    <row r="1" spans="1:11" ht="15" customHeight="1">
      <c r="A1" s="41" t="s">
        <v>3</v>
      </c>
      <c r="B1" s="41" t="s">
        <v>3</v>
      </c>
      <c r="C1" s="41" t="s">
        <v>895</v>
      </c>
      <c r="D1" s="41" t="s">
        <v>1082</v>
      </c>
      <c r="E1" s="41" t="s">
        <v>1130</v>
      </c>
      <c r="F1" s="41" t="s">
        <v>1132</v>
      </c>
      <c r="G1" s="41" t="s">
        <v>1083</v>
      </c>
      <c r="H1" s="41" t="s">
        <v>1096</v>
      </c>
      <c r="I1" s="41" t="s">
        <v>1097</v>
      </c>
      <c r="J1" s="50" t="s">
        <v>831</v>
      </c>
      <c r="K1" s="41" t="s">
        <v>251</v>
      </c>
    </row>
    <row r="2" spans="1:11" ht="15" customHeight="1">
      <c r="A2" s="45" t="s">
        <v>258</v>
      </c>
      <c r="B2" s="45" t="s">
        <v>902</v>
      </c>
      <c r="C2" s="45" t="s">
        <v>48</v>
      </c>
      <c r="D2" s="45" t="s">
        <v>46</v>
      </c>
      <c r="E2" s="45" t="str">
        <f>VLOOKUP(C2,Average!B$2:D$56,3,FALSE)</f>
        <v>Adult</v>
      </c>
      <c r="F2" s="45" t="s">
        <v>1131</v>
      </c>
      <c r="G2" s="45">
        <v>21</v>
      </c>
      <c r="H2" s="45">
        <f>G2*12</f>
        <v>252</v>
      </c>
      <c r="I2" s="45">
        <f>H2/12</f>
        <v>21</v>
      </c>
      <c r="J2" s="44">
        <v>1</v>
      </c>
      <c r="K2" s="46" t="s">
        <v>259</v>
      </c>
    </row>
    <row r="3" spans="1:11" ht="15" customHeight="1">
      <c r="A3" s="45" t="s">
        <v>276</v>
      </c>
      <c r="B3" s="45" t="s">
        <v>906</v>
      </c>
      <c r="C3" s="45" t="s">
        <v>110</v>
      </c>
      <c r="D3" s="45" t="s">
        <v>108</v>
      </c>
      <c r="E3" s="45" t="str">
        <f>VLOOKUP(C3,Average!B$2:D$56,3,FALSE)</f>
        <v>Adult</v>
      </c>
      <c r="F3" s="45" t="s">
        <v>1131</v>
      </c>
      <c r="G3" s="45">
        <v>39</v>
      </c>
      <c r="H3" s="45">
        <f>I3*12</f>
        <v>468</v>
      </c>
      <c r="I3" s="45">
        <v>39</v>
      </c>
      <c r="J3" s="44">
        <v>11</v>
      </c>
      <c r="K3" s="46" t="s">
        <v>278</v>
      </c>
    </row>
    <row r="4" spans="1:11" ht="15" customHeight="1">
      <c r="A4" s="45" t="s">
        <v>276</v>
      </c>
      <c r="B4" s="45" t="s">
        <v>906</v>
      </c>
      <c r="C4" s="45" t="s">
        <v>110</v>
      </c>
      <c r="D4" s="45" t="s">
        <v>108</v>
      </c>
      <c r="E4" s="45" t="str">
        <f>VLOOKUP(C4,Average!B$2:D$56,3,FALSE)</f>
        <v>Adult</v>
      </c>
      <c r="F4" s="45" t="s">
        <v>1131</v>
      </c>
      <c r="G4" s="45">
        <v>40.5</v>
      </c>
      <c r="H4" s="45">
        <f>I4*12</f>
        <v>486</v>
      </c>
      <c r="I4" s="45">
        <v>40.5</v>
      </c>
      <c r="J4" s="44">
        <v>12</v>
      </c>
      <c r="K4" s="45" t="s">
        <v>277</v>
      </c>
    </row>
    <row r="5" spans="1:11" ht="15" customHeight="1">
      <c r="A5" s="45" t="s">
        <v>453</v>
      </c>
      <c r="B5" s="45" t="s">
        <v>952</v>
      </c>
      <c r="C5" s="45" t="s">
        <v>176</v>
      </c>
      <c r="D5" s="45" t="s">
        <v>174</v>
      </c>
      <c r="E5" s="45" t="str">
        <f>VLOOKUP(C5,Average!B$2:D$56,3,FALSE)</f>
        <v>benign/likely benign</v>
      </c>
      <c r="F5" s="45" t="s">
        <v>1131</v>
      </c>
      <c r="G5" s="45">
        <v>6</v>
      </c>
      <c r="H5" s="45">
        <f>I5*12</f>
        <v>72</v>
      </c>
      <c r="I5" s="45">
        <v>6</v>
      </c>
      <c r="J5" s="44" t="s">
        <v>885</v>
      </c>
      <c r="K5" s="46" t="s">
        <v>334</v>
      </c>
    </row>
    <row r="6" spans="1:11" ht="15" customHeight="1">
      <c r="A6" s="45" t="s">
        <v>554</v>
      </c>
      <c r="B6" s="45" t="s">
        <v>989</v>
      </c>
      <c r="C6" s="45" t="s">
        <v>35</v>
      </c>
      <c r="D6" s="45" t="s">
        <v>33</v>
      </c>
      <c r="E6" s="45" t="str">
        <f>VLOOKUP(C6,Average!B$2:D$56,3,FALSE)</f>
        <v>Infantile</v>
      </c>
      <c r="F6" s="45" t="s">
        <v>1131</v>
      </c>
      <c r="G6" s="45">
        <v>1</v>
      </c>
      <c r="H6" s="45">
        <f>G6*12</f>
        <v>12</v>
      </c>
      <c r="I6" s="45">
        <v>1</v>
      </c>
      <c r="J6" s="44" t="s">
        <v>555</v>
      </c>
      <c r="K6" s="46" t="s">
        <v>259</v>
      </c>
    </row>
    <row r="7" spans="1:11" ht="15" customHeight="1">
      <c r="A7" s="45" t="s">
        <v>691</v>
      </c>
      <c r="B7" s="45" t="s">
        <v>1038</v>
      </c>
      <c r="C7" s="45" t="s">
        <v>71</v>
      </c>
      <c r="D7" s="45" t="s">
        <v>69</v>
      </c>
      <c r="E7" s="45" t="str">
        <f>VLOOKUP(C7,Average!B$2:D$56,3,FALSE)</f>
        <v>Infantile</v>
      </c>
      <c r="F7" s="45" t="s">
        <v>1131</v>
      </c>
      <c r="G7" s="45">
        <v>0</v>
      </c>
      <c r="H7" s="45">
        <f>G7*12</f>
        <v>0</v>
      </c>
      <c r="I7" s="45">
        <f>H7/12</f>
        <v>0</v>
      </c>
      <c r="J7" s="44">
        <v>35</v>
      </c>
      <c r="K7" s="46" t="s">
        <v>259</v>
      </c>
    </row>
    <row r="8" spans="1:11" ht="15" customHeight="1">
      <c r="A8" s="45" t="s">
        <v>714</v>
      </c>
      <c r="B8" s="45" t="s">
        <v>1048</v>
      </c>
      <c r="C8" s="45" t="s">
        <v>160</v>
      </c>
      <c r="D8" s="45" t="s">
        <v>158</v>
      </c>
      <c r="E8" s="45" t="str">
        <f>VLOOKUP(C8,Average!B$2:D$56,3,FALSE)</f>
        <v>Infantile</v>
      </c>
      <c r="F8" s="45" t="s">
        <v>1131</v>
      </c>
      <c r="G8" s="45" t="s">
        <v>1090</v>
      </c>
      <c r="H8" s="52">
        <v>1.75</v>
      </c>
      <c r="I8" s="52">
        <v>0.58333333300000001</v>
      </c>
      <c r="J8" s="44" t="s">
        <v>715</v>
      </c>
      <c r="K8" s="46" t="s">
        <v>259</v>
      </c>
    </row>
    <row r="9" spans="1:11" ht="15" customHeight="1">
      <c r="A9" s="45" t="s">
        <v>717</v>
      </c>
      <c r="B9" s="45" t="s">
        <v>1049</v>
      </c>
      <c r="C9" s="45" t="s">
        <v>188</v>
      </c>
      <c r="D9" s="45" t="s">
        <v>186</v>
      </c>
      <c r="E9" s="45" t="str">
        <f>VLOOKUP(C9,Average!B$2:D$56,3,FALSE)</f>
        <v>Infantile</v>
      </c>
      <c r="F9" s="45" t="s">
        <v>1131</v>
      </c>
      <c r="G9" s="45" t="s">
        <v>1089</v>
      </c>
      <c r="H9" s="45">
        <v>3</v>
      </c>
      <c r="I9" s="45">
        <f t="shared" ref="I9:I14" si="0">H9/12</f>
        <v>0.25</v>
      </c>
      <c r="J9" s="44">
        <v>39</v>
      </c>
      <c r="K9" s="46" t="s">
        <v>259</v>
      </c>
    </row>
    <row r="10" spans="1:11" ht="15" customHeight="1">
      <c r="A10" s="45" t="s">
        <v>720</v>
      </c>
      <c r="B10" s="45" t="s">
        <v>1051</v>
      </c>
      <c r="C10" s="45" t="s">
        <v>193</v>
      </c>
      <c r="D10" s="45" t="s">
        <v>191</v>
      </c>
      <c r="E10" s="45" t="str">
        <f>VLOOKUP(C10,Average!B$2:D$56,3,FALSE)</f>
        <v>Infantile</v>
      </c>
      <c r="F10" s="45" t="s">
        <v>1131</v>
      </c>
      <c r="G10" s="45" t="s">
        <v>1093</v>
      </c>
      <c r="H10" s="45">
        <v>9</v>
      </c>
      <c r="I10" s="45">
        <f t="shared" si="0"/>
        <v>0.75</v>
      </c>
      <c r="J10" s="44">
        <v>40</v>
      </c>
      <c r="K10" s="45" t="s">
        <v>721</v>
      </c>
    </row>
    <row r="11" spans="1:11" ht="15" customHeight="1">
      <c r="A11" s="45" t="s">
        <v>317</v>
      </c>
      <c r="B11" s="45" t="s">
        <v>916</v>
      </c>
      <c r="C11" s="45" t="s">
        <v>52</v>
      </c>
      <c r="D11" s="45" t="s">
        <v>50</v>
      </c>
      <c r="E11" s="45" t="str">
        <f>VLOOKUP(C11,Average!B$2:D$56,3,FALSE)</f>
        <v>Infantile</v>
      </c>
      <c r="F11" s="45" t="s">
        <v>1131</v>
      </c>
      <c r="G11" s="45" t="s">
        <v>1087</v>
      </c>
      <c r="H11" s="45">
        <v>0.25</v>
      </c>
      <c r="I11" s="45">
        <f t="shared" si="0"/>
        <v>2.0833333333333332E-2</v>
      </c>
      <c r="J11" s="44">
        <v>3</v>
      </c>
      <c r="K11" s="46" t="s">
        <v>259</v>
      </c>
    </row>
    <row r="12" spans="1:11" ht="15" customHeight="1">
      <c r="A12" s="45" t="s">
        <v>325</v>
      </c>
      <c r="B12" s="45" t="s">
        <v>918</v>
      </c>
      <c r="C12" s="45" t="s">
        <v>17</v>
      </c>
      <c r="D12" s="45" t="s">
        <v>15</v>
      </c>
      <c r="E12" s="45" t="str">
        <f>VLOOKUP(C12,Average!B$2:D$56,3,FALSE)</f>
        <v>Infantile</v>
      </c>
      <c r="F12" s="45" t="s">
        <v>1131</v>
      </c>
      <c r="G12" s="45" t="s">
        <v>1094</v>
      </c>
      <c r="H12" s="45">
        <v>5</v>
      </c>
      <c r="I12" s="45">
        <f t="shared" si="0"/>
        <v>0.41666666666666669</v>
      </c>
      <c r="J12" s="44">
        <v>4</v>
      </c>
      <c r="K12" s="46" t="s">
        <v>259</v>
      </c>
    </row>
    <row r="13" spans="1:11" ht="15" customHeight="1">
      <c r="A13" s="45" t="s">
        <v>441</v>
      </c>
      <c r="B13" s="45" t="s">
        <v>947</v>
      </c>
      <c r="C13" s="45" t="s">
        <v>148</v>
      </c>
      <c r="D13" s="45" t="s">
        <v>146</v>
      </c>
      <c r="E13" s="45" t="str">
        <f>VLOOKUP(C13,Average!B$2:D$56,3,FALSE)</f>
        <v>Infantile</v>
      </c>
      <c r="F13" s="45" t="s">
        <v>1131</v>
      </c>
      <c r="G13" s="45">
        <v>0</v>
      </c>
      <c r="H13" s="45">
        <f>G13*12</f>
        <v>0</v>
      </c>
      <c r="I13" s="45">
        <f t="shared" si="0"/>
        <v>0</v>
      </c>
      <c r="J13" s="44">
        <v>10</v>
      </c>
      <c r="K13" s="46" t="s">
        <v>259</v>
      </c>
    </row>
    <row r="14" spans="1:11" ht="15" customHeight="1">
      <c r="A14" s="45" t="s">
        <v>302</v>
      </c>
      <c r="B14" s="45" t="s">
        <v>912</v>
      </c>
      <c r="C14" s="45" t="s">
        <v>139</v>
      </c>
      <c r="D14" s="45" t="s">
        <v>137</v>
      </c>
      <c r="E14" s="45" t="str">
        <f>VLOOKUP(C14,Average!B$2:D$56,3,FALSE)</f>
        <v>Infantile</v>
      </c>
      <c r="F14" s="45" t="s">
        <v>1131</v>
      </c>
      <c r="G14" s="45" t="s">
        <v>1089</v>
      </c>
      <c r="H14" s="45">
        <v>3</v>
      </c>
      <c r="I14" s="45">
        <f t="shared" si="0"/>
        <v>0.25</v>
      </c>
      <c r="J14" s="44">
        <v>2</v>
      </c>
      <c r="K14" s="46" t="s">
        <v>303</v>
      </c>
    </row>
    <row r="15" spans="1:11" ht="15" customHeight="1">
      <c r="A15" s="45" t="s">
        <v>333</v>
      </c>
      <c r="B15" s="45" t="s">
        <v>921</v>
      </c>
      <c r="C15" s="45" t="s">
        <v>113</v>
      </c>
      <c r="D15" s="45" t="s">
        <v>111</v>
      </c>
      <c r="E15" s="45" t="str">
        <f>VLOOKUP(C15,Average!B$2:D$56,3,FALSE)</f>
        <v>Infantile</v>
      </c>
      <c r="F15" s="45" t="s">
        <v>1131</v>
      </c>
      <c r="G15" s="45" t="s">
        <v>1109</v>
      </c>
      <c r="H15" s="45">
        <f>I15*12</f>
        <v>6.9599999999999991</v>
      </c>
      <c r="I15" s="45">
        <f>AVERAGE(0.16,1)</f>
        <v>0.57999999999999996</v>
      </c>
      <c r="J15" s="54" t="s">
        <v>1108</v>
      </c>
      <c r="K15" s="46" t="s">
        <v>334</v>
      </c>
    </row>
    <row r="16" spans="1:11" ht="15" customHeight="1">
      <c r="A16" s="45" t="s">
        <v>331</v>
      </c>
      <c r="B16" s="45" t="s">
        <v>921</v>
      </c>
      <c r="C16" s="45" t="s">
        <v>113</v>
      </c>
      <c r="D16" s="45" t="s">
        <v>111</v>
      </c>
      <c r="E16" s="45" t="str">
        <f>VLOOKUP(C16,Average!B$2:D$56,3,FALSE)</f>
        <v>Infantile</v>
      </c>
      <c r="F16" s="45" t="s">
        <v>1131</v>
      </c>
      <c r="G16" s="45" t="s">
        <v>1088</v>
      </c>
      <c r="H16" s="45">
        <v>7</v>
      </c>
      <c r="I16" s="45">
        <f>H16/12</f>
        <v>0.58333333333333337</v>
      </c>
      <c r="J16" s="44">
        <v>5</v>
      </c>
      <c r="K16" s="46" t="s">
        <v>259</v>
      </c>
    </row>
    <row r="17" spans="1:11" ht="15" customHeight="1">
      <c r="A17" s="45" t="s">
        <v>524</v>
      </c>
      <c r="B17" s="45" t="s">
        <v>980</v>
      </c>
      <c r="C17" s="45" t="s">
        <v>45</v>
      </c>
      <c r="D17" s="45" t="s">
        <v>64</v>
      </c>
      <c r="E17" s="45" t="str">
        <f>VLOOKUP(C17,Average!B$2:D$56,3,FALSE)</f>
        <v>Infantile</v>
      </c>
      <c r="F17" s="45" t="s">
        <v>1131</v>
      </c>
      <c r="G17" s="45" t="s">
        <v>1104</v>
      </c>
      <c r="H17" s="45">
        <f>I17*12</f>
        <v>1.7399999999999998</v>
      </c>
      <c r="I17" s="45">
        <f>AVERAGE(0.29, 0)</f>
        <v>0.14499999999999999</v>
      </c>
      <c r="J17" s="44" t="s">
        <v>529</v>
      </c>
      <c r="K17" s="46" t="s">
        <v>363</v>
      </c>
    </row>
    <row r="18" spans="1:11" ht="15" customHeight="1">
      <c r="A18" s="45" t="s">
        <v>524</v>
      </c>
      <c r="B18" s="45" t="s">
        <v>980</v>
      </c>
      <c r="C18" s="45" t="s">
        <v>45</v>
      </c>
      <c r="D18" s="45" t="s">
        <v>64</v>
      </c>
      <c r="E18" s="45" t="str">
        <f>VLOOKUP(C18,Average!B$2:D$56,3,FALSE)</f>
        <v>Infantile</v>
      </c>
      <c r="F18" s="45" t="s">
        <v>1131</v>
      </c>
      <c r="G18" s="45" t="s">
        <v>1086</v>
      </c>
      <c r="H18" s="45">
        <v>3.6</v>
      </c>
      <c r="I18" s="45">
        <f>H18/12</f>
        <v>0.3</v>
      </c>
      <c r="J18" s="44" t="s">
        <v>526</v>
      </c>
      <c r="K18" s="46" t="s">
        <v>259</v>
      </c>
    </row>
    <row r="19" spans="1:11" ht="15" customHeight="1">
      <c r="A19" s="45" t="s">
        <v>570</v>
      </c>
      <c r="B19" s="45" t="s">
        <v>994</v>
      </c>
      <c r="C19" s="45" t="s">
        <v>106</v>
      </c>
      <c r="D19" s="45" t="s">
        <v>107</v>
      </c>
      <c r="E19" s="45" t="str">
        <f>VLOOKUP(C19,Average!B$2:D$56,3,FALSE)</f>
        <v>Infantile</v>
      </c>
      <c r="F19" s="45" t="s">
        <v>1131</v>
      </c>
      <c r="G19" s="45">
        <v>0</v>
      </c>
      <c r="H19" s="45">
        <v>0</v>
      </c>
      <c r="I19" s="45">
        <v>0</v>
      </c>
      <c r="J19" s="44">
        <v>35</v>
      </c>
      <c r="K19" s="46" t="s">
        <v>363</v>
      </c>
    </row>
    <row r="20" spans="1:11" ht="15" customHeight="1">
      <c r="A20" s="45" t="s">
        <v>362</v>
      </c>
      <c r="B20" s="45" t="s">
        <v>928</v>
      </c>
      <c r="C20" s="45" t="s">
        <v>21</v>
      </c>
      <c r="D20" s="45" t="s">
        <v>19</v>
      </c>
      <c r="E20" s="45" t="str">
        <f>VLOOKUP(C20,Average!B$2:D$56,3,FALSE)</f>
        <v>Infantile</v>
      </c>
      <c r="F20" s="45" t="s">
        <v>1131</v>
      </c>
      <c r="G20" s="45">
        <v>0.28999999999999998</v>
      </c>
      <c r="H20" s="45">
        <f>G20*12</f>
        <v>3.4799999999999995</v>
      </c>
      <c r="I20" s="45">
        <f>H20/12</f>
        <v>0.28999999999999998</v>
      </c>
      <c r="J20" s="44">
        <v>9</v>
      </c>
      <c r="K20" s="46" t="s">
        <v>363</v>
      </c>
    </row>
    <row r="21" spans="1:11" ht="15" customHeight="1">
      <c r="A21" s="45" t="s">
        <v>699</v>
      </c>
      <c r="B21" s="45" t="s">
        <v>1041</v>
      </c>
      <c r="C21" s="45" t="s">
        <v>101</v>
      </c>
      <c r="D21" s="45" t="s">
        <v>99</v>
      </c>
      <c r="E21" s="45" t="str">
        <f>VLOOKUP(C21,Average!B$2:D$56,3,FALSE)</f>
        <v>Infantile</v>
      </c>
      <c r="F21" s="45" t="s">
        <v>1131</v>
      </c>
      <c r="G21" s="45" t="s">
        <v>1085</v>
      </c>
      <c r="H21" s="45">
        <v>1</v>
      </c>
      <c r="I21" s="45">
        <f>H21/12</f>
        <v>8.3333333333333329E-2</v>
      </c>
      <c r="J21" s="44" t="s">
        <v>700</v>
      </c>
      <c r="K21" s="46" t="s">
        <v>259</v>
      </c>
    </row>
    <row r="22" spans="1:11" ht="15" customHeight="1">
      <c r="A22" s="45" t="s">
        <v>493</v>
      </c>
      <c r="B22" s="45" t="s">
        <v>970</v>
      </c>
      <c r="C22" s="45" t="s">
        <v>92</v>
      </c>
      <c r="D22" s="45" t="s">
        <v>90</v>
      </c>
      <c r="E22" s="45" t="str">
        <f>VLOOKUP(C22,Average!B$2:D$56,3,FALSE)</f>
        <v>Juvenile</v>
      </c>
      <c r="F22" s="45" t="s">
        <v>1131</v>
      </c>
      <c r="G22" s="45">
        <v>10</v>
      </c>
      <c r="H22" s="45">
        <f>G22*12</f>
        <v>120</v>
      </c>
      <c r="I22" s="45">
        <f>H22/12</f>
        <v>10</v>
      </c>
      <c r="J22" s="44">
        <v>11</v>
      </c>
      <c r="K22" s="46" t="s">
        <v>259</v>
      </c>
    </row>
    <row r="23" spans="1:11" ht="15" customHeight="1">
      <c r="A23" s="45" t="s">
        <v>494</v>
      </c>
      <c r="B23" s="45" t="s">
        <v>971</v>
      </c>
      <c r="C23" s="45" t="s">
        <v>164</v>
      </c>
      <c r="D23" s="45" t="s">
        <v>162</v>
      </c>
      <c r="E23" s="45" t="str">
        <f>VLOOKUP(C23,Average!B$2:D$56,3,FALSE)</f>
        <v>Juvenile</v>
      </c>
      <c r="F23" s="45" t="s">
        <v>1131</v>
      </c>
      <c r="G23" s="45">
        <v>11</v>
      </c>
      <c r="H23" s="45">
        <f>G23*12</f>
        <v>132</v>
      </c>
      <c r="I23" s="45">
        <f>H23/12</f>
        <v>11</v>
      </c>
      <c r="J23" s="44">
        <v>12</v>
      </c>
      <c r="K23" s="45" t="s">
        <v>495</v>
      </c>
    </row>
    <row r="24" spans="1:11" ht="15" customHeight="1">
      <c r="A24" s="45" t="s">
        <v>504</v>
      </c>
      <c r="B24" s="45" t="s">
        <v>976</v>
      </c>
      <c r="C24" s="45" t="s">
        <v>179</v>
      </c>
      <c r="D24" s="45" t="s">
        <v>177</v>
      </c>
      <c r="E24" s="45" t="str">
        <f>VLOOKUP(C24,Average!B$2:D$56,3,FALSE)</f>
        <v>Juvenile</v>
      </c>
      <c r="F24" s="45" t="s">
        <v>1131</v>
      </c>
      <c r="G24" s="45">
        <v>3</v>
      </c>
      <c r="H24" s="45" t="s">
        <v>1111</v>
      </c>
      <c r="I24" s="52" t="s">
        <v>1111</v>
      </c>
      <c r="J24" s="44" t="s">
        <v>505</v>
      </c>
      <c r="K24" s="46" t="s">
        <v>259</v>
      </c>
    </row>
    <row r="25" spans="1:11" ht="15" customHeight="1">
      <c r="A25" s="45" t="s">
        <v>506</v>
      </c>
      <c r="B25" s="45" t="s">
        <v>976</v>
      </c>
      <c r="C25" s="45" t="s">
        <v>179</v>
      </c>
      <c r="D25" s="45" t="s">
        <v>177</v>
      </c>
      <c r="E25" s="45" t="str">
        <f>VLOOKUP(C25,Average!B$2:D$56,3,FALSE)</f>
        <v>Juvenile</v>
      </c>
      <c r="F25" s="45" t="s">
        <v>1131</v>
      </c>
      <c r="G25" s="45" t="s">
        <v>1091</v>
      </c>
      <c r="H25" s="45" t="s">
        <v>1111</v>
      </c>
      <c r="I25" s="45" t="s">
        <v>1111</v>
      </c>
      <c r="J25" s="44">
        <v>16</v>
      </c>
      <c r="K25" s="46" t="s">
        <v>259</v>
      </c>
    </row>
    <row r="26" spans="1:11" ht="15" customHeight="1">
      <c r="A26" s="45" t="s">
        <v>666</v>
      </c>
      <c r="B26" s="45" t="s">
        <v>1029</v>
      </c>
      <c r="C26" s="45" t="s">
        <v>185</v>
      </c>
      <c r="D26" s="45" t="s">
        <v>183</v>
      </c>
      <c r="E26" s="45" t="str">
        <f>VLOOKUP(C26,Average!B$2:D$56,3,FALSE)</f>
        <v>Juvenile</v>
      </c>
      <c r="F26" s="45" t="s">
        <v>1131</v>
      </c>
      <c r="G26" s="45" t="s">
        <v>1092</v>
      </c>
      <c r="H26" s="45">
        <v>4.5</v>
      </c>
      <c r="I26" s="45">
        <f>H26/12</f>
        <v>0.375</v>
      </c>
      <c r="J26" s="44" t="s">
        <v>667</v>
      </c>
      <c r="K26" s="46" t="s">
        <v>259</v>
      </c>
    </row>
    <row r="27" spans="1:11" ht="15" customHeight="1">
      <c r="A27" s="45" t="s">
        <v>499</v>
      </c>
      <c r="B27" s="45" t="s">
        <v>973</v>
      </c>
      <c r="C27" s="45" t="s">
        <v>122</v>
      </c>
      <c r="D27" s="45" t="s">
        <v>120</v>
      </c>
      <c r="E27" s="45" t="str">
        <f>VLOOKUP(C27,Average!B$2:D$56,3,FALSE)</f>
        <v>Mixed</v>
      </c>
      <c r="F27" s="45" t="s">
        <v>1131</v>
      </c>
      <c r="G27" s="45">
        <v>24</v>
      </c>
      <c r="H27" s="45">
        <f>G27*12</f>
        <v>288</v>
      </c>
      <c r="I27" s="45">
        <f>H27/12</f>
        <v>24</v>
      </c>
      <c r="J27" s="44">
        <v>13</v>
      </c>
      <c r="K27" s="46" t="s">
        <v>259</v>
      </c>
    </row>
    <row r="28" spans="1:11" ht="15" customHeight="1">
      <c r="A28" s="45" t="s">
        <v>535</v>
      </c>
      <c r="B28" s="45" t="s">
        <v>982</v>
      </c>
      <c r="C28" s="45" t="s">
        <v>95</v>
      </c>
      <c r="D28" s="45" t="s">
        <v>93</v>
      </c>
      <c r="E28" s="45" t="str">
        <f>VLOOKUP(C28,Average!B$2:D$56,3,FALSE)</f>
        <v>Mixed</v>
      </c>
      <c r="F28" s="45" t="s">
        <v>1131</v>
      </c>
      <c r="G28" s="45">
        <v>1.5</v>
      </c>
      <c r="H28" s="45">
        <f>I28*12</f>
        <v>18</v>
      </c>
      <c r="I28" s="45">
        <v>1.5</v>
      </c>
      <c r="J28" s="44">
        <v>33</v>
      </c>
      <c r="K28" s="46" t="s">
        <v>363</v>
      </c>
    </row>
    <row r="29" spans="1:11" ht="15" customHeight="1">
      <c r="A29" s="45" t="s">
        <v>536</v>
      </c>
      <c r="B29" s="45" t="s">
        <v>982</v>
      </c>
      <c r="C29" s="45" t="s">
        <v>95</v>
      </c>
      <c r="D29" s="45" t="s">
        <v>93</v>
      </c>
      <c r="E29" s="45" t="str">
        <f>VLOOKUP(C29,Average!B$2:D$56,3,FALSE)</f>
        <v>Mixed</v>
      </c>
      <c r="F29" s="45" t="s">
        <v>1131</v>
      </c>
      <c r="G29" s="45">
        <v>2</v>
      </c>
      <c r="H29" s="45">
        <v>24</v>
      </c>
      <c r="I29" s="45">
        <v>2</v>
      </c>
      <c r="J29" s="45"/>
      <c r="K29" s="45" t="s">
        <v>537</v>
      </c>
    </row>
    <row r="30" spans="1:11" ht="15" customHeight="1">
      <c r="A30" s="45" t="s">
        <v>795</v>
      </c>
      <c r="B30" s="45" t="s">
        <v>1072</v>
      </c>
      <c r="C30" s="45" t="s">
        <v>77</v>
      </c>
      <c r="D30" s="45" t="s">
        <v>102</v>
      </c>
      <c r="E30" s="45" t="str">
        <f>VLOOKUP(C30,Average!B$2:D$56,3,FALSE)</f>
        <v>Mixed</v>
      </c>
      <c r="F30" s="45" t="s">
        <v>1131</v>
      </c>
      <c r="G30" s="45">
        <v>10</v>
      </c>
      <c r="H30" s="45">
        <f>G30*12</f>
        <v>120</v>
      </c>
      <c r="I30" s="45">
        <f>H30/12</f>
        <v>10</v>
      </c>
      <c r="J30" s="44">
        <v>41</v>
      </c>
      <c r="K30" s="46" t="s">
        <v>259</v>
      </c>
    </row>
    <row r="31" spans="1:11" ht="15" customHeight="1">
      <c r="A31" s="45" t="s">
        <v>789</v>
      </c>
      <c r="B31" s="45" t="s">
        <v>1072</v>
      </c>
      <c r="C31" s="45" t="s">
        <v>77</v>
      </c>
      <c r="D31" s="45" t="s">
        <v>102</v>
      </c>
      <c r="E31" s="45" t="str">
        <f>VLOOKUP(C31,Average!B$2:D$56,3,FALSE)</f>
        <v>Mixed</v>
      </c>
      <c r="F31" s="45" t="s">
        <v>1131</v>
      </c>
      <c r="G31" s="45">
        <v>13</v>
      </c>
      <c r="H31" s="45">
        <f>G31*12</f>
        <v>156</v>
      </c>
      <c r="I31" s="45">
        <v>13</v>
      </c>
      <c r="J31" s="42"/>
      <c r="K31" s="45" t="s">
        <v>866</v>
      </c>
    </row>
    <row r="32" spans="1:11" ht="15" customHeight="1">
      <c r="A32" s="45" t="s">
        <v>789</v>
      </c>
      <c r="B32" s="45" t="s">
        <v>1072</v>
      </c>
      <c r="C32" s="45" t="s">
        <v>77</v>
      </c>
      <c r="D32" s="45" t="s">
        <v>102</v>
      </c>
      <c r="E32" s="45" t="str">
        <f>VLOOKUP(C32,Average!B$2:D$56,3,FALSE)</f>
        <v>Mixed</v>
      </c>
      <c r="F32" s="45" t="s">
        <v>1131</v>
      </c>
      <c r="G32" s="45" t="s">
        <v>1107</v>
      </c>
      <c r="H32" s="45">
        <f>I32*12</f>
        <v>144</v>
      </c>
      <c r="I32" s="45">
        <f>AVERAGE(14,6,16)</f>
        <v>12</v>
      </c>
      <c r="J32" s="44" t="s">
        <v>797</v>
      </c>
      <c r="K32" s="46" t="s">
        <v>363</v>
      </c>
    </row>
    <row r="33" spans="1:11" ht="15" customHeight="1">
      <c r="A33" s="45" t="s">
        <v>421</v>
      </c>
      <c r="B33" s="45" t="s">
        <v>943</v>
      </c>
      <c r="C33" s="45" t="s">
        <v>58</v>
      </c>
      <c r="D33" s="45" t="s">
        <v>56</v>
      </c>
      <c r="E33" s="45" t="str">
        <f>VLOOKUP(C33,Average!B$2:D$56,3,FALSE)</f>
        <v>Mixed</v>
      </c>
      <c r="F33" s="45" t="s">
        <v>1131</v>
      </c>
      <c r="G33" s="45">
        <v>4</v>
      </c>
      <c r="H33" s="45">
        <f>G33*12</f>
        <v>48</v>
      </c>
      <c r="I33" s="45">
        <v>4</v>
      </c>
      <c r="J33" s="44" t="s">
        <v>422</v>
      </c>
      <c r="K33" s="45" t="s">
        <v>836</v>
      </c>
    </row>
    <row r="34" spans="1:11" ht="15" customHeight="1">
      <c r="A34" s="45" t="s">
        <v>421</v>
      </c>
      <c r="B34" s="45" t="s">
        <v>943</v>
      </c>
      <c r="C34" s="45" t="s">
        <v>58</v>
      </c>
      <c r="D34" s="45" t="s">
        <v>56</v>
      </c>
      <c r="E34" s="45" t="str">
        <f>VLOOKUP(C34,Average!B$2:D$56,3,FALSE)</f>
        <v>Mixed</v>
      </c>
      <c r="F34" s="45" t="s">
        <v>1131</v>
      </c>
      <c r="G34" s="45">
        <v>6</v>
      </c>
      <c r="H34" s="45">
        <f>G34*12</f>
        <v>72</v>
      </c>
      <c r="I34" s="45">
        <f>H34/12</f>
        <v>6</v>
      </c>
      <c r="J34" s="44">
        <v>9</v>
      </c>
      <c r="K34" s="46" t="s">
        <v>259</v>
      </c>
    </row>
    <row r="35" spans="1:11" ht="15" customHeight="1">
      <c r="A35" s="45" t="s">
        <v>421</v>
      </c>
      <c r="B35" s="45" t="s">
        <v>943</v>
      </c>
      <c r="C35" s="45" t="s">
        <v>58</v>
      </c>
      <c r="D35" s="45" t="s">
        <v>56</v>
      </c>
      <c r="E35" s="45" t="str">
        <f>VLOOKUP(C35,Average!B$2:D$56,3,FALSE)</f>
        <v>Mixed</v>
      </c>
      <c r="F35" s="45" t="s">
        <v>1131</v>
      </c>
      <c r="G35" s="45" t="s">
        <v>1103</v>
      </c>
      <c r="H35" s="45">
        <f t="shared" ref="H35:H41" si="1">I35*12</f>
        <v>51</v>
      </c>
      <c r="I35" s="45">
        <f>AVERAGE(0.75,2,10)</f>
        <v>4.25</v>
      </c>
      <c r="J35" s="44" t="s">
        <v>430</v>
      </c>
      <c r="K35" s="46" t="s">
        <v>363</v>
      </c>
    </row>
    <row r="36" spans="1:11" ht="15" customHeight="1">
      <c r="A36" s="45" t="s">
        <v>421</v>
      </c>
      <c r="B36" s="45" t="s">
        <v>943</v>
      </c>
      <c r="C36" s="45" t="s">
        <v>58</v>
      </c>
      <c r="D36" s="45" t="s">
        <v>56</v>
      </c>
      <c r="E36" s="45" t="str">
        <f>VLOOKUP(C36,Average!B$2:D$56,3,FALSE)</f>
        <v>Mixed</v>
      </c>
      <c r="F36" s="45" t="s">
        <v>1131</v>
      </c>
      <c r="G36" s="45" t="s">
        <v>1102</v>
      </c>
      <c r="H36" s="45">
        <f t="shared" si="1"/>
        <v>120</v>
      </c>
      <c r="I36" s="45">
        <v>10</v>
      </c>
      <c r="J36" s="44" t="s">
        <v>427</v>
      </c>
      <c r="K36" s="45" t="s">
        <v>428</v>
      </c>
    </row>
    <row r="37" spans="1:11" ht="15" customHeight="1">
      <c r="A37" s="45" t="s">
        <v>509</v>
      </c>
      <c r="B37" s="45" t="s">
        <v>978</v>
      </c>
      <c r="C37" s="45" t="s">
        <v>31</v>
      </c>
      <c r="D37" s="45" t="s">
        <v>29</v>
      </c>
      <c r="E37" s="45" t="str">
        <f>VLOOKUP(C37,Average!B$2:D$56,3,FALSE)</f>
        <v>Mostly infantile</v>
      </c>
      <c r="F37" s="45" t="s">
        <v>1131</v>
      </c>
      <c r="G37" s="45" t="s">
        <v>1095</v>
      </c>
      <c r="H37" s="35">
        <f t="shared" si="1"/>
        <v>32.01</v>
      </c>
      <c r="I37" s="45">
        <f>AVERAGE(0.5, 1.5, 7, 1.67)</f>
        <v>2.6675</v>
      </c>
      <c r="J37" s="44" t="s">
        <v>516</v>
      </c>
      <c r="K37" s="46" t="s">
        <v>363</v>
      </c>
    </row>
    <row r="38" spans="1:11" ht="15" customHeight="1">
      <c r="A38" s="45" t="s">
        <v>514</v>
      </c>
      <c r="B38" s="45" t="s">
        <v>978</v>
      </c>
      <c r="C38" s="45" t="s">
        <v>31</v>
      </c>
      <c r="D38" s="45" t="s">
        <v>29</v>
      </c>
      <c r="E38" s="45" t="str">
        <f>VLOOKUP(C38,Average!B$2:D$56,3,FALSE)</f>
        <v>Mostly infantile</v>
      </c>
      <c r="F38" s="45" t="s">
        <v>1131</v>
      </c>
      <c r="G38" s="45" t="s">
        <v>1084</v>
      </c>
      <c r="H38" s="35">
        <f t="shared" si="1"/>
        <v>11.599999999999998</v>
      </c>
      <c r="I38" s="45">
        <f>AVERAGE(2,1,2/12,8/12,1)</f>
        <v>0.96666666666666656</v>
      </c>
      <c r="J38" s="44" t="s">
        <v>515</v>
      </c>
      <c r="K38" s="46" t="s">
        <v>259</v>
      </c>
    </row>
    <row r="39" spans="1:11" ht="15" customHeight="1">
      <c r="A39" s="45" t="s">
        <v>352</v>
      </c>
      <c r="B39" s="45" t="s">
        <v>927</v>
      </c>
      <c r="C39" s="45" t="s">
        <v>55</v>
      </c>
      <c r="D39" s="45" t="s">
        <v>53</v>
      </c>
      <c r="E39" s="45" t="str">
        <f>VLOOKUP(C39,Average!B$2:D$56,3,FALSE)</f>
        <v>Mostly infantile</v>
      </c>
      <c r="F39" s="45" t="s">
        <v>1131</v>
      </c>
      <c r="G39" s="45" t="s">
        <v>1101</v>
      </c>
      <c r="H39" s="45">
        <f t="shared" si="1"/>
        <v>27</v>
      </c>
      <c r="I39" s="45">
        <f>AVERAGE(4,0.5)</f>
        <v>2.25</v>
      </c>
      <c r="J39" s="54" t="s">
        <v>1099</v>
      </c>
      <c r="K39" s="46" t="s">
        <v>334</v>
      </c>
    </row>
    <row r="40" spans="1:11" ht="15" customHeight="1">
      <c r="A40" s="45" t="s">
        <v>352</v>
      </c>
      <c r="B40" s="45" t="s">
        <v>927</v>
      </c>
      <c r="C40" s="45" t="s">
        <v>55</v>
      </c>
      <c r="D40" s="45" t="s">
        <v>53</v>
      </c>
      <c r="E40" s="45" t="str">
        <f>VLOOKUP(C40,Average!B$2:D$56,3,FALSE)</f>
        <v>Mostly infantile</v>
      </c>
      <c r="F40" s="45" t="s">
        <v>1131</v>
      </c>
      <c r="G40" s="45" t="s">
        <v>1098</v>
      </c>
      <c r="H40" s="45">
        <f t="shared" si="1"/>
        <v>27.25</v>
      </c>
      <c r="I40" s="45">
        <f>AVERAGE(7,1,6/12,7/12)</f>
        <v>2.2708333333333335</v>
      </c>
      <c r="J40" s="44" t="s">
        <v>355</v>
      </c>
      <c r="K40" s="45" t="s">
        <v>356</v>
      </c>
    </row>
    <row r="41" spans="1:11" ht="15" customHeight="1">
      <c r="A41" s="45" t="s">
        <v>366</v>
      </c>
      <c r="B41" s="45" t="s">
        <v>929</v>
      </c>
      <c r="C41" s="45" t="s">
        <v>86</v>
      </c>
      <c r="D41" s="45" t="s">
        <v>84</v>
      </c>
      <c r="E41" s="45" t="str">
        <f>VLOOKUP(C41,Average!B$2:D$56,3,FALSE)</f>
        <v>Mostly infantile</v>
      </c>
      <c r="F41" s="45" t="s">
        <v>1131</v>
      </c>
      <c r="G41" s="45" t="s">
        <v>1106</v>
      </c>
      <c r="H41" s="45">
        <f t="shared" si="1"/>
        <v>6.99</v>
      </c>
      <c r="I41" s="45">
        <f>AVERAGE(0.58,0.5,1.25,0)</f>
        <v>0.58250000000000002</v>
      </c>
      <c r="J41" s="54" t="s">
        <v>1105</v>
      </c>
      <c r="K41" s="46" t="s">
        <v>363</v>
      </c>
    </row>
    <row r="42" spans="1:11" ht="15" customHeight="1">
      <c r="A42" s="45" t="s">
        <v>338</v>
      </c>
      <c r="B42" s="45" t="s">
        <v>924</v>
      </c>
      <c r="C42" s="45" t="s">
        <v>142</v>
      </c>
      <c r="D42" s="45" t="s">
        <v>140</v>
      </c>
      <c r="E42" s="45" t="str">
        <f>VLOOKUP(C42,Average!B$2:D$56,3,FALSE)</f>
        <v>Adult</v>
      </c>
      <c r="F42" s="45"/>
      <c r="G42" s="45"/>
      <c r="H42" s="45" t="s">
        <v>1111</v>
      </c>
      <c r="I42" s="45" t="s">
        <v>1111</v>
      </c>
      <c r="J42" s="44" t="s">
        <v>339</v>
      </c>
      <c r="K42" s="46" t="s">
        <v>340</v>
      </c>
    </row>
    <row r="43" spans="1:11" ht="15" customHeight="1">
      <c r="A43" s="45" t="s">
        <v>279</v>
      </c>
      <c r="B43" s="45" t="s">
        <v>907</v>
      </c>
      <c r="C43" s="45" t="s">
        <v>80</v>
      </c>
      <c r="D43" s="45" t="s">
        <v>78</v>
      </c>
      <c r="E43" s="45" t="str">
        <f>VLOOKUP(C43,Average!B$2:D$56,3,FALSE)</f>
        <v>Adult</v>
      </c>
      <c r="F43" s="45"/>
      <c r="G43" s="45"/>
      <c r="H43" s="45" t="s">
        <v>1111</v>
      </c>
      <c r="I43" s="45" t="s">
        <v>1111</v>
      </c>
      <c r="J43" s="44"/>
      <c r="K43" s="46" t="s">
        <v>280</v>
      </c>
    </row>
    <row r="44" spans="1:11" ht="15" customHeight="1">
      <c r="A44" s="45" t="s">
        <v>279</v>
      </c>
      <c r="B44" s="45" t="s">
        <v>907</v>
      </c>
      <c r="C44" s="45" t="s">
        <v>80</v>
      </c>
      <c r="D44" s="45" t="s">
        <v>78</v>
      </c>
      <c r="E44" s="45" t="str">
        <f>VLOOKUP(C44,Average!B$2:D$56,3,FALSE)</f>
        <v>Adult</v>
      </c>
      <c r="F44" s="45"/>
      <c r="G44" s="45"/>
      <c r="H44" s="45" t="s">
        <v>1111</v>
      </c>
      <c r="I44" s="45" t="s">
        <v>1111</v>
      </c>
      <c r="J44" s="44" t="s">
        <v>281</v>
      </c>
      <c r="K44" s="46" t="s">
        <v>282</v>
      </c>
    </row>
    <row r="45" spans="1:11" ht="15" customHeight="1">
      <c r="A45" s="45" t="s">
        <v>279</v>
      </c>
      <c r="B45" s="45" t="s">
        <v>907</v>
      </c>
      <c r="C45" s="45" t="s">
        <v>80</v>
      </c>
      <c r="D45" s="45" t="s">
        <v>78</v>
      </c>
      <c r="E45" s="45" t="str">
        <f>VLOOKUP(C45,Average!B$2:D$56,3,FALSE)</f>
        <v>Adult</v>
      </c>
      <c r="F45" s="45"/>
      <c r="G45" s="45"/>
      <c r="H45" s="45" t="s">
        <v>1111</v>
      </c>
      <c r="I45" s="45" t="s">
        <v>1111</v>
      </c>
      <c r="J45" s="44">
        <v>13</v>
      </c>
      <c r="K45" s="46" t="s">
        <v>283</v>
      </c>
    </row>
    <row r="46" spans="1:11" ht="15" customHeight="1">
      <c r="A46" s="45" t="s">
        <v>279</v>
      </c>
      <c r="B46" s="45" t="s">
        <v>907</v>
      </c>
      <c r="C46" s="45" t="s">
        <v>80</v>
      </c>
      <c r="D46" s="45" t="s">
        <v>78</v>
      </c>
      <c r="E46" s="45" t="str">
        <f>VLOOKUP(C46,Average!B$2:D$56,3,FALSE)</f>
        <v>Adult</v>
      </c>
      <c r="F46" s="45"/>
      <c r="G46" s="45"/>
      <c r="H46" s="45" t="s">
        <v>1111</v>
      </c>
      <c r="I46" s="45" t="s">
        <v>1111</v>
      </c>
      <c r="J46" s="44">
        <v>9</v>
      </c>
      <c r="K46" s="45" t="s">
        <v>832</v>
      </c>
    </row>
    <row r="47" spans="1:11" ht="15" customHeight="1">
      <c r="A47" s="45" t="s">
        <v>279</v>
      </c>
      <c r="B47" s="45" t="s">
        <v>907</v>
      </c>
      <c r="C47" s="45" t="s">
        <v>80</v>
      </c>
      <c r="D47" s="45" t="s">
        <v>78</v>
      </c>
      <c r="E47" s="45" t="str">
        <f>VLOOKUP(C47,Average!B$2:D$56,3,FALSE)</f>
        <v>Adult</v>
      </c>
      <c r="F47" s="45"/>
      <c r="G47" s="45"/>
      <c r="H47" s="45" t="s">
        <v>1111</v>
      </c>
      <c r="I47" s="45" t="s">
        <v>1111</v>
      </c>
      <c r="J47" s="44" t="s">
        <v>284</v>
      </c>
      <c r="K47" s="46" t="s">
        <v>285</v>
      </c>
    </row>
    <row r="48" spans="1:11" ht="15" customHeight="1">
      <c r="A48" s="45" t="s">
        <v>279</v>
      </c>
      <c r="B48" s="45" t="s">
        <v>907</v>
      </c>
      <c r="C48" s="45" t="s">
        <v>80</v>
      </c>
      <c r="D48" s="45" t="s">
        <v>78</v>
      </c>
      <c r="E48" s="45" t="str">
        <f>VLOOKUP(C48,Average!B$2:D$56,3,FALSE)</f>
        <v>Adult</v>
      </c>
      <c r="F48" s="45"/>
      <c r="G48" s="45"/>
      <c r="H48" s="45" t="s">
        <v>1111</v>
      </c>
      <c r="I48" s="45" t="s">
        <v>1111</v>
      </c>
      <c r="J48" s="44">
        <v>29</v>
      </c>
      <c r="K48" s="46" t="s">
        <v>286</v>
      </c>
    </row>
    <row r="49" spans="1:11" ht="15" customHeight="1">
      <c r="A49" s="45" t="s">
        <v>279</v>
      </c>
      <c r="B49" s="45" t="s">
        <v>907</v>
      </c>
      <c r="C49" s="45" t="s">
        <v>80</v>
      </c>
      <c r="D49" s="45" t="s">
        <v>78</v>
      </c>
      <c r="E49" s="45" t="str">
        <f>VLOOKUP(C49,Average!B$2:D$56,3,FALSE)</f>
        <v>Adult</v>
      </c>
      <c r="F49" s="45"/>
      <c r="G49" s="45"/>
      <c r="H49" s="45" t="s">
        <v>1111</v>
      </c>
      <c r="I49" s="45" t="s">
        <v>1111</v>
      </c>
      <c r="J49" s="44"/>
      <c r="K49" s="46" t="s">
        <v>287</v>
      </c>
    </row>
    <row r="50" spans="1:11" ht="15" customHeight="1">
      <c r="A50" s="45" t="s">
        <v>279</v>
      </c>
      <c r="B50" s="45" t="s">
        <v>907</v>
      </c>
      <c r="C50" s="45" t="s">
        <v>80</v>
      </c>
      <c r="D50" s="45" t="s">
        <v>78</v>
      </c>
      <c r="E50" s="45" t="str">
        <f>VLOOKUP(C50,Average!B$2:D$56,3,FALSE)</f>
        <v>Adult</v>
      </c>
      <c r="F50" s="45"/>
      <c r="G50" s="45"/>
      <c r="H50" s="45" t="s">
        <v>1111</v>
      </c>
      <c r="I50" s="45" t="s">
        <v>1111</v>
      </c>
      <c r="J50" s="44">
        <v>1</v>
      </c>
      <c r="K50" s="46" t="s">
        <v>288</v>
      </c>
    </row>
    <row r="51" spans="1:11" ht="15" customHeight="1">
      <c r="A51" s="45" t="s">
        <v>387</v>
      </c>
      <c r="B51" s="45" t="s">
        <v>974</v>
      </c>
      <c r="C51" s="45" t="s">
        <v>151</v>
      </c>
      <c r="D51" s="45" t="s">
        <v>149</v>
      </c>
      <c r="E51" s="45" t="str">
        <f>VLOOKUP(C51,Average!B$2:D$56,3,FALSE)</f>
        <v>benign/likely benign</v>
      </c>
      <c r="F51" s="45"/>
      <c r="G51" s="45"/>
      <c r="H51" s="45" t="s">
        <v>1111</v>
      </c>
      <c r="I51" s="45" t="s">
        <v>1111</v>
      </c>
      <c r="J51" s="44" t="s">
        <v>887</v>
      </c>
      <c r="K51" s="46" t="s">
        <v>501</v>
      </c>
    </row>
    <row r="52" spans="1:11" ht="15" customHeight="1">
      <c r="A52" s="45" t="s">
        <v>659</v>
      </c>
      <c r="B52" s="45" t="s">
        <v>1027</v>
      </c>
      <c r="C52" s="45" t="s">
        <v>157</v>
      </c>
      <c r="D52" s="45" t="s">
        <v>155</v>
      </c>
      <c r="E52" s="45" t="str">
        <f>VLOOKUP(C52,Average!B$2:D$56,3,FALSE)</f>
        <v>Infantile</v>
      </c>
      <c r="F52" s="45"/>
      <c r="G52" s="45"/>
      <c r="H52" s="45" t="s">
        <v>1111</v>
      </c>
      <c r="I52" s="45" t="s">
        <v>1111</v>
      </c>
      <c r="J52" s="44"/>
      <c r="K52" s="46" t="s">
        <v>660</v>
      </c>
    </row>
    <row r="53" spans="1:11" ht="15" customHeight="1">
      <c r="A53" s="45" t="s">
        <v>704</v>
      </c>
      <c r="B53" s="45" t="s">
        <v>1043</v>
      </c>
      <c r="C53" s="45" t="s">
        <v>131</v>
      </c>
      <c r="D53" s="45" t="s">
        <v>129</v>
      </c>
      <c r="E53" s="45" t="str">
        <f>VLOOKUP(C53,Average!B$2:D$56,3,FALSE)</f>
        <v>Infantile</v>
      </c>
      <c r="F53" s="45"/>
      <c r="G53" s="45"/>
      <c r="H53" s="45" t="s">
        <v>1111</v>
      </c>
      <c r="I53" s="45" t="s">
        <v>1111</v>
      </c>
      <c r="J53" s="44"/>
      <c r="K53" s="46" t="s">
        <v>705</v>
      </c>
    </row>
    <row r="54" spans="1:11" ht="15" customHeight="1">
      <c r="A54" s="45" t="s">
        <v>714</v>
      </c>
      <c r="B54" s="45" t="s">
        <v>1048</v>
      </c>
      <c r="C54" s="45" t="s">
        <v>160</v>
      </c>
      <c r="D54" s="45" t="s">
        <v>158</v>
      </c>
      <c r="E54" s="45" t="str">
        <f>VLOOKUP(C54,Average!B$2:D$56,3,FALSE)</f>
        <v>Infantile</v>
      </c>
      <c r="F54" s="45"/>
      <c r="G54" s="45"/>
      <c r="H54" s="45" t="s">
        <v>1111</v>
      </c>
      <c r="I54" s="45" t="s">
        <v>1111</v>
      </c>
      <c r="J54" s="44">
        <v>7</v>
      </c>
      <c r="K54" s="46" t="s">
        <v>301</v>
      </c>
    </row>
    <row r="55" spans="1:11" ht="15" customHeight="1">
      <c r="A55" s="45" t="s">
        <v>714</v>
      </c>
      <c r="B55" s="45" t="s">
        <v>1048</v>
      </c>
      <c r="C55" s="45" t="s">
        <v>160</v>
      </c>
      <c r="D55" s="45" t="s">
        <v>158</v>
      </c>
      <c r="E55" s="45" t="str">
        <f>VLOOKUP(C55,Average!B$2:D$56,3,FALSE)</f>
        <v>Infantile</v>
      </c>
      <c r="F55" s="45"/>
      <c r="G55" s="45"/>
      <c r="H55" s="45" t="s">
        <v>1111</v>
      </c>
      <c r="I55" s="45" t="s">
        <v>1111</v>
      </c>
      <c r="J55" s="43" t="s">
        <v>281</v>
      </c>
      <c r="K55" s="46" t="s">
        <v>716</v>
      </c>
    </row>
    <row r="56" spans="1:11" ht="15" customHeight="1">
      <c r="A56" s="45" t="s">
        <v>714</v>
      </c>
      <c r="B56" s="45" t="s">
        <v>1048</v>
      </c>
      <c r="C56" s="45" t="s">
        <v>160</v>
      </c>
      <c r="D56" s="45" t="s">
        <v>158</v>
      </c>
      <c r="E56" s="45" t="str">
        <f>VLOOKUP(C56,Average!B$2:D$56,3,FALSE)</f>
        <v>Infantile</v>
      </c>
      <c r="F56" s="45"/>
      <c r="G56" s="45"/>
      <c r="H56" s="45" t="s">
        <v>1111</v>
      </c>
      <c r="I56" s="45" t="s">
        <v>1111</v>
      </c>
      <c r="J56" s="43"/>
      <c r="K56" s="46" t="s">
        <v>318</v>
      </c>
    </row>
    <row r="57" spans="1:11" ht="15" customHeight="1">
      <c r="A57" s="45" t="s">
        <v>622</v>
      </c>
      <c r="B57" s="45" t="s">
        <v>1013</v>
      </c>
      <c r="C57" s="45" t="s">
        <v>98</v>
      </c>
      <c r="D57" s="45" t="s">
        <v>96</v>
      </c>
      <c r="E57" s="45" t="str">
        <f>VLOOKUP(C57,Average!B$2:D$56,3,FALSE)</f>
        <v>Infantile</v>
      </c>
      <c r="F57" s="45"/>
      <c r="G57" s="45"/>
      <c r="H57" s="45" t="s">
        <v>1111</v>
      </c>
      <c r="I57" s="45" t="s">
        <v>1111</v>
      </c>
      <c r="J57" s="44" t="s">
        <v>623</v>
      </c>
      <c r="K57" s="46" t="s">
        <v>624</v>
      </c>
    </row>
    <row r="58" spans="1:11" ht="15" customHeight="1">
      <c r="A58" s="45" t="s">
        <v>645</v>
      </c>
      <c r="B58" s="45" t="s">
        <v>1022</v>
      </c>
      <c r="C58" s="45" t="s">
        <v>128</v>
      </c>
      <c r="D58" s="45" t="s">
        <v>126</v>
      </c>
      <c r="E58" s="45" t="str">
        <f>VLOOKUP(C58,Average!B$2:D$56,3,FALSE)</f>
        <v>Infantile</v>
      </c>
      <c r="F58" s="45"/>
      <c r="G58" s="45"/>
      <c r="H58" s="45" t="s">
        <v>1111</v>
      </c>
      <c r="I58" s="45" t="s">
        <v>1111</v>
      </c>
      <c r="J58" s="44" t="s">
        <v>646</v>
      </c>
      <c r="K58" s="45" t="s">
        <v>647</v>
      </c>
    </row>
    <row r="59" spans="1:11" ht="15" customHeight="1">
      <c r="A59" s="45" t="s">
        <v>315</v>
      </c>
      <c r="B59" s="45" t="s">
        <v>916</v>
      </c>
      <c r="C59" s="45" t="s">
        <v>52</v>
      </c>
      <c r="D59" s="45" t="s">
        <v>50</v>
      </c>
      <c r="E59" s="45" t="str">
        <f>VLOOKUP(C59,Average!B$2:D$56,3,FALSE)</f>
        <v>Infantile</v>
      </c>
      <c r="F59" s="45"/>
      <c r="G59" s="45"/>
      <c r="H59" s="45" t="s">
        <v>1111</v>
      </c>
      <c r="I59" s="45" t="s">
        <v>1111</v>
      </c>
      <c r="J59" s="44">
        <v>1</v>
      </c>
      <c r="K59" s="46" t="s">
        <v>316</v>
      </c>
    </row>
    <row r="60" spans="1:11" ht="15" customHeight="1">
      <c r="A60" s="45" t="s">
        <v>317</v>
      </c>
      <c r="B60" s="45" t="s">
        <v>916</v>
      </c>
      <c r="C60" s="45" t="s">
        <v>52</v>
      </c>
      <c r="D60" s="45" t="s">
        <v>50</v>
      </c>
      <c r="E60" s="45" t="str">
        <f>VLOOKUP(C60,Average!B$2:D$56,3,FALSE)</f>
        <v>Infantile</v>
      </c>
      <c r="F60" s="45"/>
      <c r="G60" s="45"/>
      <c r="H60" s="45" t="s">
        <v>1111</v>
      </c>
      <c r="I60" s="45" t="s">
        <v>1111</v>
      </c>
      <c r="J60" s="44"/>
      <c r="K60" s="46" t="s">
        <v>318</v>
      </c>
    </row>
    <row r="61" spans="1:11" ht="15" customHeight="1">
      <c r="A61" s="45" t="s">
        <v>315</v>
      </c>
      <c r="B61" s="45" t="s">
        <v>916</v>
      </c>
      <c r="C61" s="45" t="s">
        <v>52</v>
      </c>
      <c r="D61" s="45" t="s">
        <v>50</v>
      </c>
      <c r="E61" s="45" t="str">
        <f>VLOOKUP(C61,Average!B$2:D$56,3,FALSE)</f>
        <v>Infantile</v>
      </c>
      <c r="F61" s="45"/>
      <c r="G61" s="45"/>
      <c r="H61" s="45" t="s">
        <v>1111</v>
      </c>
      <c r="I61" s="45" t="s">
        <v>1111</v>
      </c>
      <c r="J61" s="44">
        <v>9</v>
      </c>
      <c r="K61" s="46" t="s">
        <v>319</v>
      </c>
    </row>
    <row r="62" spans="1:11" ht="15" customHeight="1">
      <c r="A62" s="45" t="s">
        <v>315</v>
      </c>
      <c r="B62" s="45" t="s">
        <v>916</v>
      </c>
      <c r="C62" s="45" t="s">
        <v>52</v>
      </c>
      <c r="D62" s="45" t="s">
        <v>50</v>
      </c>
      <c r="E62" s="45" t="str">
        <f>VLOOKUP(C62,Average!B$2:D$56,3,FALSE)</f>
        <v>Infantile</v>
      </c>
      <c r="F62" s="45"/>
      <c r="G62" s="45"/>
      <c r="H62" s="45" t="s">
        <v>1111</v>
      </c>
      <c r="I62" s="45" t="s">
        <v>1111</v>
      </c>
      <c r="J62" s="44"/>
      <c r="K62" s="46" t="s">
        <v>324</v>
      </c>
    </row>
    <row r="63" spans="1:11" ht="15" customHeight="1">
      <c r="A63" s="45" t="s">
        <v>438</v>
      </c>
      <c r="B63" s="45" t="s">
        <v>945</v>
      </c>
      <c r="C63" s="45" t="s">
        <v>89</v>
      </c>
      <c r="D63" s="45" t="s">
        <v>87</v>
      </c>
      <c r="E63" s="45" t="str">
        <f>VLOOKUP(C63,Average!B$2:D$56,3,FALSE)</f>
        <v>Infantile</v>
      </c>
      <c r="F63" s="45"/>
      <c r="G63" s="45"/>
      <c r="H63" s="45" t="s">
        <v>1111</v>
      </c>
      <c r="I63" s="45" t="s">
        <v>1111</v>
      </c>
      <c r="J63" s="44"/>
      <c r="K63" s="46" t="s">
        <v>439</v>
      </c>
    </row>
    <row r="64" spans="1:11" ht="15" customHeight="1">
      <c r="A64" s="45" t="s">
        <v>441</v>
      </c>
      <c r="B64" s="45" t="s">
        <v>947</v>
      </c>
      <c r="C64" s="45" t="s">
        <v>148</v>
      </c>
      <c r="D64" s="45" t="s">
        <v>146</v>
      </c>
      <c r="E64" s="45" t="str">
        <f>VLOOKUP(C64,Average!B$2:D$56,3,FALSE)</f>
        <v>Infantile</v>
      </c>
      <c r="F64" s="45"/>
      <c r="G64" s="45"/>
      <c r="H64" s="45" t="s">
        <v>1111</v>
      </c>
      <c r="I64" s="45" t="s">
        <v>1111</v>
      </c>
      <c r="J64" s="44">
        <v>4</v>
      </c>
      <c r="K64" s="46" t="s">
        <v>369</v>
      </c>
    </row>
    <row r="65" spans="1:11" ht="15" customHeight="1">
      <c r="A65" s="45" t="s">
        <v>302</v>
      </c>
      <c r="B65" s="45" t="s">
        <v>912</v>
      </c>
      <c r="C65" s="45" t="s">
        <v>139</v>
      </c>
      <c r="D65" s="45" t="s">
        <v>137</v>
      </c>
      <c r="E65" s="45" t="str">
        <f>VLOOKUP(C65,Average!B$2:D$56,3,FALSE)</f>
        <v>Infantile</v>
      </c>
      <c r="F65" s="45"/>
      <c r="G65" s="45"/>
      <c r="H65" s="45" t="s">
        <v>1111</v>
      </c>
      <c r="I65" s="45" t="s">
        <v>1111</v>
      </c>
      <c r="J65" s="45"/>
      <c r="K65" s="46" t="s">
        <v>304</v>
      </c>
    </row>
    <row r="66" spans="1:11" ht="15" customHeight="1">
      <c r="A66" s="45" t="s">
        <v>754</v>
      </c>
      <c r="B66" s="45" t="s">
        <v>1062</v>
      </c>
      <c r="C66" s="45" t="s">
        <v>74</v>
      </c>
      <c r="D66" s="45" t="s">
        <v>72</v>
      </c>
      <c r="E66" s="45" t="str">
        <f>VLOOKUP(C66,Average!B$2:D$56,3,FALSE)</f>
        <v>Infantile</v>
      </c>
      <c r="F66" s="45"/>
      <c r="G66" s="45"/>
      <c r="H66" s="45" t="s">
        <v>1111</v>
      </c>
      <c r="I66" s="45" t="s">
        <v>1111</v>
      </c>
      <c r="J66" s="44"/>
      <c r="K66" s="46" t="s">
        <v>755</v>
      </c>
    </row>
    <row r="67" spans="1:11" ht="15" customHeight="1">
      <c r="A67" s="45" t="s">
        <v>332</v>
      </c>
      <c r="B67" s="45" t="s">
        <v>921</v>
      </c>
      <c r="C67" s="45" t="s">
        <v>113</v>
      </c>
      <c r="D67" s="45" t="s">
        <v>111</v>
      </c>
      <c r="E67" s="45" t="str">
        <f>VLOOKUP(C67,Average!B$2:D$56,3,FALSE)</f>
        <v>Infantile</v>
      </c>
      <c r="F67" s="45"/>
      <c r="G67" s="45"/>
      <c r="H67" s="45" t="s">
        <v>1111</v>
      </c>
      <c r="I67" s="45" t="s">
        <v>1111</v>
      </c>
      <c r="J67" s="44">
        <v>2</v>
      </c>
      <c r="K67" s="46" t="s">
        <v>283</v>
      </c>
    </row>
    <row r="68" spans="1:11" ht="15" customHeight="1">
      <c r="A68" s="45" t="s">
        <v>332</v>
      </c>
      <c r="B68" s="45" t="s">
        <v>921</v>
      </c>
      <c r="C68" s="45" t="s">
        <v>113</v>
      </c>
      <c r="D68" s="45" t="s">
        <v>111</v>
      </c>
      <c r="E68" s="45" t="str">
        <f>VLOOKUP(C68,Average!B$2:D$56,3,FALSE)</f>
        <v>Infantile</v>
      </c>
      <c r="F68" s="45"/>
      <c r="G68" s="45"/>
      <c r="H68" s="45" t="s">
        <v>1111</v>
      </c>
      <c r="I68" s="45" t="s">
        <v>1111</v>
      </c>
      <c r="J68" s="44"/>
      <c r="K68" s="46" t="s">
        <v>336</v>
      </c>
    </row>
    <row r="69" spans="1:11" ht="15" customHeight="1">
      <c r="A69" s="45" t="s">
        <v>337</v>
      </c>
      <c r="B69" s="45" t="s">
        <v>923</v>
      </c>
      <c r="C69" s="45" t="s">
        <v>83</v>
      </c>
      <c r="D69" s="45" t="s">
        <v>81</v>
      </c>
      <c r="E69" s="45" t="str">
        <f>VLOOKUP(C69,Average!B$2:D$56,3,FALSE)</f>
        <v>Infantile</v>
      </c>
      <c r="F69" s="45"/>
      <c r="G69" s="45"/>
      <c r="H69" s="45" t="s">
        <v>1111</v>
      </c>
      <c r="I69" s="45" t="s">
        <v>1111</v>
      </c>
      <c r="J69" s="44">
        <v>2</v>
      </c>
      <c r="K69" s="46" t="s">
        <v>316</v>
      </c>
    </row>
    <row r="70" spans="1:11" ht="15" customHeight="1">
      <c r="A70" s="45" t="s">
        <v>524</v>
      </c>
      <c r="B70" s="45" t="s">
        <v>980</v>
      </c>
      <c r="C70" s="45" t="s">
        <v>45</v>
      </c>
      <c r="D70" s="45" t="s">
        <v>64</v>
      </c>
      <c r="E70" s="45" t="str">
        <f>VLOOKUP(C70,Average!B$2:D$56,3,FALSE)</f>
        <v>Infantile</v>
      </c>
      <c r="F70" s="45"/>
      <c r="G70" s="45"/>
      <c r="H70" s="45" t="s">
        <v>1111</v>
      </c>
      <c r="I70" s="45" t="s">
        <v>1111</v>
      </c>
      <c r="J70" s="44">
        <v>7</v>
      </c>
      <c r="K70" s="46" t="s">
        <v>349</v>
      </c>
    </row>
    <row r="71" spans="1:11" ht="15" customHeight="1">
      <c r="A71" s="45" t="s">
        <v>524</v>
      </c>
      <c r="B71" s="45" t="s">
        <v>980</v>
      </c>
      <c r="C71" s="45" t="s">
        <v>45</v>
      </c>
      <c r="D71" s="45" t="s">
        <v>64</v>
      </c>
      <c r="E71" s="45" t="str">
        <f>VLOOKUP(C71,Average!B$2:D$56,3,FALSE)</f>
        <v>Infantile</v>
      </c>
      <c r="F71" s="45"/>
      <c r="G71" s="45"/>
      <c r="H71" s="45" t="s">
        <v>1111</v>
      </c>
      <c r="I71" s="45" t="s">
        <v>1111</v>
      </c>
      <c r="J71" s="44">
        <v>14</v>
      </c>
      <c r="K71" s="46" t="s">
        <v>316</v>
      </c>
    </row>
    <row r="72" spans="1:11" ht="15" customHeight="1">
      <c r="A72" s="45" t="s">
        <v>524</v>
      </c>
      <c r="B72" s="45" t="s">
        <v>980</v>
      </c>
      <c r="C72" s="45" t="s">
        <v>45</v>
      </c>
      <c r="D72" s="45" t="s">
        <v>64</v>
      </c>
      <c r="E72" s="45" t="str">
        <f>VLOOKUP(C72,Average!B$2:D$56,3,FALSE)</f>
        <v>Infantile</v>
      </c>
      <c r="F72" s="45"/>
      <c r="G72" s="45"/>
      <c r="H72" s="45" t="s">
        <v>1111</v>
      </c>
      <c r="I72" s="45" t="s">
        <v>1111</v>
      </c>
      <c r="J72" s="48" t="s">
        <v>853</v>
      </c>
      <c r="K72" s="45" t="s">
        <v>525</v>
      </c>
    </row>
    <row r="73" spans="1:11" ht="15" customHeight="1">
      <c r="A73" s="45" t="s">
        <v>524</v>
      </c>
      <c r="B73" s="45" t="s">
        <v>980</v>
      </c>
      <c r="C73" s="45" t="s">
        <v>45</v>
      </c>
      <c r="D73" s="45" t="s">
        <v>64</v>
      </c>
      <c r="E73" s="45" t="str">
        <f>VLOOKUP(C73,Average!B$2:D$56,3,FALSE)</f>
        <v>Infantile</v>
      </c>
      <c r="F73" s="45"/>
      <c r="G73" s="45"/>
      <c r="H73" s="45" t="s">
        <v>1111</v>
      </c>
      <c r="I73" s="45" t="s">
        <v>1111</v>
      </c>
      <c r="J73" s="44">
        <v>8</v>
      </c>
      <c r="K73" s="46" t="s">
        <v>283</v>
      </c>
    </row>
    <row r="74" spans="1:11" ht="15" customHeight="1">
      <c r="A74" s="45" t="s">
        <v>524</v>
      </c>
      <c r="B74" s="45" t="s">
        <v>980</v>
      </c>
      <c r="C74" s="45" t="s">
        <v>45</v>
      </c>
      <c r="D74" s="45" t="s">
        <v>64</v>
      </c>
      <c r="E74" s="45" t="str">
        <f>VLOOKUP(C74,Average!B$2:D$56,3,FALSE)</f>
        <v>Infantile</v>
      </c>
      <c r="F74" s="45"/>
      <c r="G74" s="45"/>
      <c r="H74" s="45" t="s">
        <v>1111</v>
      </c>
      <c r="I74" s="45" t="s">
        <v>1111</v>
      </c>
      <c r="J74" s="44"/>
      <c r="K74" s="46" t="s">
        <v>318</v>
      </c>
    </row>
    <row r="75" spans="1:11" ht="15" customHeight="1">
      <c r="A75" s="45" t="s">
        <v>524</v>
      </c>
      <c r="B75" s="45" t="s">
        <v>980</v>
      </c>
      <c r="C75" s="45" t="s">
        <v>45</v>
      </c>
      <c r="D75" s="45" t="s">
        <v>64</v>
      </c>
      <c r="E75" s="45" t="str">
        <f>VLOOKUP(C75,Average!B$2:D$56,3,FALSE)</f>
        <v>Infantile</v>
      </c>
      <c r="F75" s="45"/>
      <c r="G75" s="45"/>
      <c r="H75" s="45" t="s">
        <v>1111</v>
      </c>
      <c r="I75" s="45" t="s">
        <v>1111</v>
      </c>
      <c r="J75" s="44">
        <v>1</v>
      </c>
      <c r="K75" s="46" t="s">
        <v>377</v>
      </c>
    </row>
    <row r="76" spans="1:11" ht="15" customHeight="1">
      <c r="A76" s="45" t="s">
        <v>524</v>
      </c>
      <c r="B76" s="45" t="s">
        <v>980</v>
      </c>
      <c r="C76" s="45" t="s">
        <v>45</v>
      </c>
      <c r="D76" s="45" t="s">
        <v>64</v>
      </c>
      <c r="E76" s="45" t="str">
        <f>VLOOKUP(C76,Average!B$2:D$56,3,FALSE)</f>
        <v>Infantile</v>
      </c>
      <c r="F76" s="45"/>
      <c r="G76" s="45"/>
      <c r="H76" s="45" t="s">
        <v>1111</v>
      </c>
      <c r="I76" s="45" t="s">
        <v>1111</v>
      </c>
      <c r="J76" s="44" t="s">
        <v>527</v>
      </c>
      <c r="K76" s="46" t="s">
        <v>319</v>
      </c>
    </row>
    <row r="77" spans="1:11" ht="15" customHeight="1">
      <c r="A77" s="45" t="s">
        <v>524</v>
      </c>
      <c r="B77" s="45" t="s">
        <v>980</v>
      </c>
      <c r="C77" s="45" t="s">
        <v>45</v>
      </c>
      <c r="D77" s="45" t="s">
        <v>64</v>
      </c>
      <c r="E77" s="45" t="str">
        <f>VLOOKUP(C77,Average!B$2:D$56,3,FALSE)</f>
        <v>Infantile</v>
      </c>
      <c r="F77" s="45"/>
      <c r="G77" s="45"/>
      <c r="H77" s="45" t="s">
        <v>1111</v>
      </c>
      <c r="I77" s="45" t="s">
        <v>1111</v>
      </c>
      <c r="J77" s="43"/>
      <c r="K77" s="46" t="s">
        <v>528</v>
      </c>
    </row>
    <row r="78" spans="1:11" ht="15" customHeight="1">
      <c r="A78" s="45" t="s">
        <v>524</v>
      </c>
      <c r="B78" s="45" t="s">
        <v>980</v>
      </c>
      <c r="C78" s="45" t="s">
        <v>45</v>
      </c>
      <c r="D78" s="45" t="s">
        <v>64</v>
      </c>
      <c r="E78" s="45" t="str">
        <f>VLOOKUP(C78,Average!B$2:D$56,3,FALSE)</f>
        <v>Infantile</v>
      </c>
      <c r="F78" s="45"/>
      <c r="G78" s="45"/>
      <c r="H78" s="45" t="s">
        <v>1111</v>
      </c>
      <c r="I78" s="45" t="s">
        <v>1111</v>
      </c>
      <c r="J78" s="44"/>
      <c r="K78" s="46" t="s">
        <v>530</v>
      </c>
    </row>
    <row r="79" spans="1:11" ht="15" customHeight="1">
      <c r="A79" s="45" t="s">
        <v>531</v>
      </c>
      <c r="B79" s="45" t="s">
        <v>981</v>
      </c>
      <c r="C79" s="45" t="s">
        <v>125</v>
      </c>
      <c r="D79" s="45" t="s">
        <v>123</v>
      </c>
      <c r="E79" s="45" t="str">
        <f>VLOOKUP(C79,Average!B$2:D$56,3,FALSE)</f>
        <v>Infantile</v>
      </c>
      <c r="F79" s="45"/>
      <c r="G79" s="45"/>
      <c r="H79" s="45" t="s">
        <v>1111</v>
      </c>
      <c r="I79" s="45" t="s">
        <v>1111</v>
      </c>
      <c r="J79" s="44"/>
      <c r="K79" s="46" t="s">
        <v>532</v>
      </c>
    </row>
    <row r="80" spans="1:11" ht="15" customHeight="1">
      <c r="A80" s="45" t="s">
        <v>531</v>
      </c>
      <c r="B80" s="45" t="s">
        <v>981</v>
      </c>
      <c r="C80" s="45" t="s">
        <v>125</v>
      </c>
      <c r="D80" s="45" t="s">
        <v>123</v>
      </c>
      <c r="E80" s="45" t="str">
        <f>VLOOKUP(C80,Average!B$2:D$56,3,FALSE)</f>
        <v>Infantile</v>
      </c>
      <c r="F80" s="45"/>
      <c r="G80" s="45"/>
      <c r="H80" s="45" t="s">
        <v>1111</v>
      </c>
      <c r="I80" s="45" t="s">
        <v>1111</v>
      </c>
      <c r="J80" s="43"/>
      <c r="K80" s="46" t="s">
        <v>533</v>
      </c>
    </row>
    <row r="81" spans="1:11" ht="15" customHeight="1">
      <c r="A81" s="45" t="s">
        <v>531</v>
      </c>
      <c r="B81" s="45" t="s">
        <v>981</v>
      </c>
      <c r="C81" s="45" t="s">
        <v>125</v>
      </c>
      <c r="D81" s="45" t="s">
        <v>123</v>
      </c>
      <c r="E81" s="45" t="str">
        <f>VLOOKUP(C81,Average!B$2:D$56,3,FALSE)</f>
        <v>Infantile</v>
      </c>
      <c r="F81" s="45"/>
      <c r="G81" s="45"/>
      <c r="H81" s="45" t="s">
        <v>1111</v>
      </c>
      <c r="I81" s="45" t="s">
        <v>1111</v>
      </c>
      <c r="J81" s="43"/>
      <c r="K81" s="46" t="s">
        <v>318</v>
      </c>
    </row>
    <row r="82" spans="1:11" ht="15" customHeight="1">
      <c r="A82" s="45" t="s">
        <v>531</v>
      </c>
      <c r="B82" s="45" t="s">
        <v>981</v>
      </c>
      <c r="C82" s="45" t="s">
        <v>125</v>
      </c>
      <c r="D82" s="45" t="s">
        <v>123</v>
      </c>
      <c r="E82" s="45" t="str">
        <f>VLOOKUP(C82,Average!B$2:D$56,3,FALSE)</f>
        <v>Infantile</v>
      </c>
      <c r="F82" s="45"/>
      <c r="G82" s="45"/>
      <c r="H82" s="45" t="s">
        <v>1111</v>
      </c>
      <c r="I82" s="45" t="s">
        <v>1111</v>
      </c>
      <c r="J82" s="43"/>
      <c r="K82" s="46" t="s">
        <v>534</v>
      </c>
    </row>
    <row r="83" spans="1:11" ht="15" customHeight="1">
      <c r="A83" s="45" t="s">
        <v>570</v>
      </c>
      <c r="B83" s="45" t="s">
        <v>994</v>
      </c>
      <c r="C83" s="45" t="s">
        <v>106</v>
      </c>
      <c r="D83" s="45" t="s">
        <v>107</v>
      </c>
      <c r="E83" s="45" t="str">
        <f>VLOOKUP(C83,Average!B$2:D$56,3,FALSE)</f>
        <v>Infantile</v>
      </c>
      <c r="F83" s="45"/>
      <c r="G83" s="45"/>
      <c r="H83" s="45" t="s">
        <v>1111</v>
      </c>
      <c r="I83" s="45" t="s">
        <v>1111</v>
      </c>
      <c r="J83" s="44">
        <v>8</v>
      </c>
      <c r="K83" s="46" t="s">
        <v>349</v>
      </c>
    </row>
    <row r="84" spans="1:11" ht="15" customHeight="1">
      <c r="A84" s="45" t="s">
        <v>362</v>
      </c>
      <c r="B84" s="45" t="s">
        <v>928</v>
      </c>
      <c r="C84" s="45" t="s">
        <v>21</v>
      </c>
      <c r="D84" s="45" t="s">
        <v>19</v>
      </c>
      <c r="E84" s="45" t="str">
        <f>VLOOKUP(C84,Average!B$2:D$56,3,FALSE)</f>
        <v>Infantile</v>
      </c>
      <c r="F84" s="45"/>
      <c r="G84" s="45"/>
      <c r="H84" s="45" t="s">
        <v>1111</v>
      </c>
      <c r="I84" s="45" t="s">
        <v>1111</v>
      </c>
      <c r="J84" s="44">
        <v>1</v>
      </c>
      <c r="K84" s="46" t="s">
        <v>301</v>
      </c>
    </row>
    <row r="85" spans="1:11" ht="15" customHeight="1">
      <c r="A85" s="45" t="s">
        <v>390</v>
      </c>
      <c r="B85" s="45" t="s">
        <v>931</v>
      </c>
      <c r="C85" s="45" t="s">
        <v>116</v>
      </c>
      <c r="D85" s="45" t="s">
        <v>114</v>
      </c>
      <c r="E85" s="45" t="str">
        <f>VLOOKUP(C85,Average!B$2:D$56,3,FALSE)</f>
        <v>Infantile</v>
      </c>
      <c r="F85" s="45"/>
      <c r="G85" s="45"/>
      <c r="H85" s="45" t="s">
        <v>1111</v>
      </c>
      <c r="I85" s="45" t="s">
        <v>1111</v>
      </c>
      <c r="J85" s="44">
        <v>4</v>
      </c>
      <c r="K85" s="45" t="s">
        <v>391</v>
      </c>
    </row>
    <row r="86" spans="1:11" ht="15" customHeight="1">
      <c r="A86" s="45" t="s">
        <v>390</v>
      </c>
      <c r="B86" s="45" t="s">
        <v>931</v>
      </c>
      <c r="C86" s="45" t="s">
        <v>116</v>
      </c>
      <c r="D86" s="45" t="s">
        <v>114</v>
      </c>
      <c r="E86" s="45" t="str">
        <f>VLOOKUP(C86,Average!B$2:D$56,3,FALSE)</f>
        <v>Infantile</v>
      </c>
      <c r="F86" s="45"/>
      <c r="G86" s="45"/>
      <c r="H86" s="45" t="s">
        <v>1111</v>
      </c>
      <c r="I86" s="45" t="s">
        <v>1111</v>
      </c>
      <c r="J86" s="44">
        <v>8</v>
      </c>
      <c r="K86" s="46" t="s">
        <v>319</v>
      </c>
    </row>
    <row r="87" spans="1:11" ht="15" customHeight="1">
      <c r="A87" s="45" t="s">
        <v>390</v>
      </c>
      <c r="B87" s="45" t="s">
        <v>931</v>
      </c>
      <c r="C87" s="45" t="s">
        <v>116</v>
      </c>
      <c r="D87" s="45" t="s">
        <v>114</v>
      </c>
      <c r="E87" s="45" t="str">
        <f>VLOOKUP(C87,Average!B$2:D$56,3,FALSE)</f>
        <v>Infantile</v>
      </c>
      <c r="F87" s="45"/>
      <c r="G87" s="45"/>
      <c r="H87" s="45" t="s">
        <v>1111</v>
      </c>
      <c r="I87" s="45" t="s">
        <v>1111</v>
      </c>
      <c r="J87" s="44">
        <v>14</v>
      </c>
      <c r="K87" s="46" t="s">
        <v>363</v>
      </c>
    </row>
    <row r="88" spans="1:11" ht="15" customHeight="1">
      <c r="A88" s="45" t="s">
        <v>394</v>
      </c>
      <c r="B88" s="45" t="s">
        <v>933</v>
      </c>
      <c r="C88" s="45" t="s">
        <v>170</v>
      </c>
      <c r="D88" s="45" t="s">
        <v>168</v>
      </c>
      <c r="E88" s="45" t="str">
        <f>VLOOKUP(C88,Average!B$2:D$56,3,FALSE)</f>
        <v>Infantile</v>
      </c>
      <c r="F88" s="45"/>
      <c r="G88" s="45"/>
      <c r="H88" s="45" t="s">
        <v>1111</v>
      </c>
      <c r="I88" s="45" t="s">
        <v>1111</v>
      </c>
      <c r="J88" s="43"/>
      <c r="K88" s="46" t="s">
        <v>265</v>
      </c>
    </row>
    <row r="89" spans="1:11" ht="15" customHeight="1">
      <c r="A89" s="45" t="s">
        <v>437</v>
      </c>
      <c r="B89" s="45" t="s">
        <v>944</v>
      </c>
      <c r="C89" s="45" t="s">
        <v>24</v>
      </c>
      <c r="D89" s="45" t="s">
        <v>22</v>
      </c>
      <c r="E89" s="45" t="str">
        <f>VLOOKUP(C89,Average!B$2:D$56,3,FALSE)</f>
        <v>Infantile</v>
      </c>
      <c r="F89" s="45"/>
      <c r="G89" s="45"/>
      <c r="H89" s="45" t="s">
        <v>1111</v>
      </c>
      <c r="I89" s="45" t="s">
        <v>1111</v>
      </c>
      <c r="J89" s="44">
        <v>9</v>
      </c>
      <c r="K89" s="46" t="s">
        <v>316</v>
      </c>
    </row>
    <row r="90" spans="1:11" ht="15" customHeight="1">
      <c r="A90" s="45" t="s">
        <v>437</v>
      </c>
      <c r="B90" s="45" t="s">
        <v>944</v>
      </c>
      <c r="C90" s="45" t="s">
        <v>24</v>
      </c>
      <c r="D90" s="45" t="s">
        <v>22</v>
      </c>
      <c r="E90" s="45" t="str">
        <f>VLOOKUP(C90,Average!B$2:D$56,3,FALSE)</f>
        <v>Infantile</v>
      </c>
      <c r="F90" s="45"/>
      <c r="G90" s="45"/>
      <c r="H90" s="45" t="s">
        <v>1111</v>
      </c>
      <c r="I90" s="45" t="s">
        <v>1111</v>
      </c>
      <c r="J90" s="44">
        <v>10</v>
      </c>
      <c r="K90" s="46" t="s">
        <v>319</v>
      </c>
    </row>
    <row r="91" spans="1:11" ht="15" customHeight="1">
      <c r="A91" s="45" t="s">
        <v>538</v>
      </c>
      <c r="B91" s="45" t="s">
        <v>983</v>
      </c>
      <c r="C91" s="45" t="s">
        <v>154</v>
      </c>
      <c r="D91" s="45" t="s">
        <v>152</v>
      </c>
      <c r="E91" s="45" t="str">
        <f>VLOOKUP(C91,Average!B$2:D$56,3,FALSE)</f>
        <v>Infantile</v>
      </c>
      <c r="F91" s="45"/>
      <c r="G91" s="45"/>
      <c r="H91" s="45" t="s">
        <v>1111</v>
      </c>
      <c r="I91" s="45" t="s">
        <v>1111</v>
      </c>
      <c r="J91" s="44">
        <v>6</v>
      </c>
      <c r="K91" s="46" t="s">
        <v>301</v>
      </c>
    </row>
    <row r="92" spans="1:11" ht="15" customHeight="1">
      <c r="A92" s="45" t="s">
        <v>399</v>
      </c>
      <c r="B92" s="45" t="s">
        <v>935</v>
      </c>
      <c r="C92" s="45" t="s">
        <v>145</v>
      </c>
      <c r="D92" s="45" t="s">
        <v>143</v>
      </c>
      <c r="E92" s="45" t="str">
        <f>VLOOKUP(C92,Average!B$2:D$56,3,FALSE)</f>
        <v>Infantile</v>
      </c>
      <c r="F92" s="45"/>
      <c r="G92" s="45"/>
      <c r="H92" s="45" t="s">
        <v>1111</v>
      </c>
      <c r="I92" s="45" t="s">
        <v>1111</v>
      </c>
      <c r="J92" s="44">
        <v>1</v>
      </c>
      <c r="K92" s="46" t="s">
        <v>400</v>
      </c>
    </row>
    <row r="93" spans="1:11" ht="15" customHeight="1">
      <c r="A93" s="45" t="s">
        <v>544</v>
      </c>
      <c r="B93" s="45" t="s">
        <v>986</v>
      </c>
      <c r="C93" s="52" t="s">
        <v>182</v>
      </c>
      <c r="D93" s="45" t="s">
        <v>180</v>
      </c>
      <c r="E93" s="45" t="str">
        <f>VLOOKUP(C93,Average!B$2:D$56,3,FALSE)</f>
        <v>Juvenile</v>
      </c>
      <c r="F93" s="45"/>
      <c r="G93" s="45"/>
      <c r="H93" s="45" t="s">
        <v>1111</v>
      </c>
      <c r="I93" s="45" t="s">
        <v>1111</v>
      </c>
      <c r="J93" s="48" t="s">
        <v>350</v>
      </c>
      <c r="K93" s="46" t="s">
        <v>545</v>
      </c>
    </row>
    <row r="94" spans="1:11" ht="15" customHeight="1">
      <c r="A94" s="45" t="s">
        <v>544</v>
      </c>
      <c r="B94" s="45" t="s">
        <v>986</v>
      </c>
      <c r="C94" s="45" t="s">
        <v>182</v>
      </c>
      <c r="D94" s="45" t="s">
        <v>180</v>
      </c>
      <c r="E94" s="45" t="str">
        <f>VLOOKUP(C94,Average!B$2:D$56,3,FALSE)</f>
        <v>Juvenile</v>
      </c>
      <c r="F94" s="45"/>
      <c r="G94" s="45"/>
      <c r="H94" s="45" t="s">
        <v>1111</v>
      </c>
      <c r="I94" s="45" t="s">
        <v>1111</v>
      </c>
      <c r="J94" s="44">
        <v>29</v>
      </c>
      <c r="K94" s="46" t="s">
        <v>259</v>
      </c>
    </row>
    <row r="95" spans="1:11" ht="15" customHeight="1">
      <c r="A95" s="45" t="s">
        <v>544</v>
      </c>
      <c r="B95" s="45" t="s">
        <v>986</v>
      </c>
      <c r="C95" s="45" t="s">
        <v>182</v>
      </c>
      <c r="D95" s="45" t="s">
        <v>180</v>
      </c>
      <c r="E95" s="45" t="str">
        <f>VLOOKUP(C95,Average!B$2:D$56,3,FALSE)</f>
        <v>Juvenile</v>
      </c>
      <c r="F95" s="45"/>
      <c r="G95" s="45"/>
      <c r="H95" s="45" t="s">
        <v>1111</v>
      </c>
      <c r="I95" s="45" t="s">
        <v>1111</v>
      </c>
      <c r="J95" s="44">
        <v>9</v>
      </c>
      <c r="K95" s="46" t="s">
        <v>463</v>
      </c>
    </row>
    <row r="96" spans="1:11" ht="15" customHeight="1">
      <c r="A96" s="45" t="s">
        <v>544</v>
      </c>
      <c r="B96" s="45" t="s">
        <v>986</v>
      </c>
      <c r="C96" s="45" t="s">
        <v>182</v>
      </c>
      <c r="D96" s="45" t="s">
        <v>180</v>
      </c>
      <c r="E96" s="45" t="str">
        <f>VLOOKUP(C96,Average!B$2:D$56,3,FALSE)</f>
        <v>Juvenile</v>
      </c>
      <c r="F96" s="45"/>
      <c r="G96" s="45"/>
      <c r="H96" s="45" t="s">
        <v>1111</v>
      </c>
      <c r="I96" s="45" t="s">
        <v>1111</v>
      </c>
      <c r="J96" s="44"/>
      <c r="K96" s="46" t="s">
        <v>546</v>
      </c>
    </row>
    <row r="97" spans="1:11" ht="15" customHeight="1">
      <c r="A97" s="45" t="s">
        <v>675</v>
      </c>
      <c r="B97" s="45" t="s">
        <v>1032</v>
      </c>
      <c r="C97" s="52" t="s">
        <v>38</v>
      </c>
      <c r="D97" s="45" t="s">
        <v>36</v>
      </c>
      <c r="E97" s="45" t="str">
        <f>VLOOKUP(C97,Average!B$2:D$56,3,FALSE)</f>
        <v>Juvenile</v>
      </c>
      <c r="F97" s="45"/>
      <c r="G97" s="45"/>
      <c r="H97" s="45" t="s">
        <v>1111</v>
      </c>
      <c r="I97" s="45" t="s">
        <v>1111</v>
      </c>
      <c r="J97" s="48" t="s">
        <v>350</v>
      </c>
      <c r="K97" s="46" t="s">
        <v>676</v>
      </c>
    </row>
    <row r="98" spans="1:11" ht="15" customHeight="1">
      <c r="A98" s="45" t="s">
        <v>666</v>
      </c>
      <c r="B98" s="45" t="s">
        <v>1029</v>
      </c>
      <c r="C98" s="45" t="s">
        <v>185</v>
      </c>
      <c r="D98" s="45" t="s">
        <v>183</v>
      </c>
      <c r="E98" s="45" t="str">
        <f>VLOOKUP(C98,Average!B$2:D$56,3,FALSE)</f>
        <v>Juvenile</v>
      </c>
      <c r="F98" s="45"/>
      <c r="G98" s="45"/>
      <c r="H98" s="45" t="s">
        <v>1111</v>
      </c>
      <c r="I98" s="45" t="s">
        <v>1111</v>
      </c>
      <c r="J98" s="45"/>
      <c r="K98" s="46" t="s">
        <v>668</v>
      </c>
    </row>
    <row r="99" spans="1:11" ht="15" customHeight="1">
      <c r="A99" s="45" t="s">
        <v>300</v>
      </c>
      <c r="B99" s="45" t="s">
        <v>911</v>
      </c>
      <c r="C99" s="45" t="s">
        <v>167</v>
      </c>
      <c r="D99" s="45" t="s">
        <v>165</v>
      </c>
      <c r="E99" s="45" t="str">
        <f>VLOOKUP(C99,Average!B$2:D$56,3,FALSE)</f>
        <v>Juvenile</v>
      </c>
      <c r="F99" s="45"/>
      <c r="G99" s="45"/>
      <c r="H99" s="45" t="s">
        <v>1111</v>
      </c>
      <c r="I99" s="45" t="s">
        <v>1111</v>
      </c>
      <c r="J99" s="44">
        <v>8</v>
      </c>
      <c r="K99" s="46" t="s">
        <v>301</v>
      </c>
    </row>
    <row r="100" spans="1:11" ht="15" customHeight="1">
      <c r="A100" s="45" t="s">
        <v>440</v>
      </c>
      <c r="B100" s="45" t="s">
        <v>946</v>
      </c>
      <c r="C100" s="45" t="s">
        <v>119</v>
      </c>
      <c r="D100" s="45" t="s">
        <v>117</v>
      </c>
      <c r="E100" s="45" t="str">
        <f>VLOOKUP(C100,Average!B$2:D$56,3,FALSE)</f>
        <v>Juvenile</v>
      </c>
      <c r="F100" s="45"/>
      <c r="G100" s="45"/>
      <c r="H100" s="45" t="s">
        <v>1111</v>
      </c>
      <c r="I100" s="45" t="s">
        <v>1111</v>
      </c>
      <c r="J100" s="44">
        <v>2</v>
      </c>
      <c r="K100" s="46" t="s">
        <v>426</v>
      </c>
    </row>
    <row r="101" spans="1:11" ht="15" customHeight="1">
      <c r="A101" s="45" t="s">
        <v>738</v>
      </c>
      <c r="B101" s="45" t="s">
        <v>1057</v>
      </c>
      <c r="C101" s="45" t="s">
        <v>42</v>
      </c>
      <c r="D101" s="45" t="s">
        <v>40</v>
      </c>
      <c r="E101" s="45" t="str">
        <f>VLOOKUP(C101,Average!B$2:D$56,3,FALSE)</f>
        <v>Juvenile</v>
      </c>
      <c r="F101" s="45"/>
      <c r="G101" s="45"/>
      <c r="H101" s="45" t="s">
        <v>1111</v>
      </c>
      <c r="I101" s="45" t="s">
        <v>1111</v>
      </c>
      <c r="J101" s="43" t="s">
        <v>281</v>
      </c>
      <c r="K101" s="46" t="s">
        <v>739</v>
      </c>
    </row>
    <row r="102" spans="1:11" ht="15" customHeight="1">
      <c r="A102" s="45" t="s">
        <v>738</v>
      </c>
      <c r="B102" s="45" t="s">
        <v>1057</v>
      </c>
      <c r="C102" s="45" t="s">
        <v>42</v>
      </c>
      <c r="D102" s="45" t="s">
        <v>40</v>
      </c>
      <c r="E102" s="45" t="str">
        <f>VLOOKUP(C102,Average!B$2:D$56,3,FALSE)</f>
        <v>Juvenile</v>
      </c>
      <c r="F102" s="45"/>
      <c r="G102" s="45"/>
      <c r="H102" s="45" t="s">
        <v>1111</v>
      </c>
      <c r="I102" s="45" t="s">
        <v>1111</v>
      </c>
      <c r="J102" s="43"/>
      <c r="K102" s="46" t="s">
        <v>318</v>
      </c>
    </row>
    <row r="103" spans="1:11" ht="15" customHeight="1">
      <c r="A103" s="45" t="s">
        <v>738</v>
      </c>
      <c r="B103" s="45" t="s">
        <v>1057</v>
      </c>
      <c r="C103" s="45" t="s">
        <v>42</v>
      </c>
      <c r="D103" s="45" t="s">
        <v>40</v>
      </c>
      <c r="E103" s="45" t="str">
        <f>VLOOKUP(C103,Average!B$2:D$56,3,FALSE)</f>
        <v>Juvenile</v>
      </c>
      <c r="F103" s="45"/>
      <c r="G103" s="45"/>
      <c r="H103" s="45" t="s">
        <v>1111</v>
      </c>
      <c r="I103" s="45" t="s">
        <v>1111</v>
      </c>
      <c r="J103" s="45"/>
      <c r="K103" s="46" t="s">
        <v>740</v>
      </c>
    </row>
    <row r="104" spans="1:11" ht="15" customHeight="1">
      <c r="A104" s="45" t="s">
        <v>738</v>
      </c>
      <c r="B104" s="45" t="s">
        <v>1057</v>
      </c>
      <c r="C104" s="45" t="s">
        <v>42</v>
      </c>
      <c r="D104" s="45" t="s">
        <v>40</v>
      </c>
      <c r="E104" s="45" t="str">
        <f>VLOOKUP(C104,Average!B$2:D$56,3,FALSE)</f>
        <v>Juvenile</v>
      </c>
      <c r="F104" s="45"/>
      <c r="G104" s="45"/>
      <c r="H104" s="45" t="s">
        <v>1111</v>
      </c>
      <c r="I104" s="45" t="s">
        <v>1111</v>
      </c>
      <c r="J104" s="43"/>
      <c r="K104" s="46" t="s">
        <v>741</v>
      </c>
    </row>
    <row r="105" spans="1:11" ht="15" customHeight="1">
      <c r="A105" s="45" t="s">
        <v>416</v>
      </c>
      <c r="B105" s="45" t="s">
        <v>941</v>
      </c>
      <c r="C105" s="45" t="s">
        <v>173</v>
      </c>
      <c r="D105" s="45" t="s">
        <v>171</v>
      </c>
      <c r="E105" s="45" t="str">
        <f>VLOOKUP(C105,Average!B$2:D$56,3,FALSE)</f>
        <v>Juvenile</v>
      </c>
      <c r="F105" s="45"/>
      <c r="G105" s="45"/>
      <c r="H105" s="45" t="s">
        <v>1111</v>
      </c>
      <c r="I105" s="45" t="s">
        <v>1111</v>
      </c>
      <c r="J105" s="45"/>
      <c r="K105" s="46" t="s">
        <v>417</v>
      </c>
    </row>
    <row r="106" spans="1:11" ht="15" customHeight="1">
      <c r="A106" s="45" t="s">
        <v>416</v>
      </c>
      <c r="B106" s="45" t="s">
        <v>941</v>
      </c>
      <c r="C106" s="45" t="s">
        <v>173</v>
      </c>
      <c r="D106" s="45" t="s">
        <v>171</v>
      </c>
      <c r="E106" s="45" t="str">
        <f>VLOOKUP(C106,Average!B$2:D$56,3,FALSE)</f>
        <v>Juvenile</v>
      </c>
      <c r="F106" s="45"/>
      <c r="G106" s="45"/>
      <c r="H106" s="45" t="s">
        <v>1111</v>
      </c>
      <c r="I106" s="45" t="s">
        <v>1111</v>
      </c>
      <c r="J106" s="44">
        <v>6</v>
      </c>
      <c r="K106" s="46" t="s">
        <v>278</v>
      </c>
    </row>
    <row r="107" spans="1:11" ht="15" customHeight="1">
      <c r="A107" s="45" t="s">
        <v>499</v>
      </c>
      <c r="B107" s="45" t="s">
        <v>973</v>
      </c>
      <c r="C107" s="45" t="s">
        <v>122</v>
      </c>
      <c r="D107" s="45" t="s">
        <v>120</v>
      </c>
      <c r="E107" s="45" t="str">
        <f>VLOOKUP(C107,Average!B$2:D$56,3,FALSE)</f>
        <v>Mixed</v>
      </c>
      <c r="F107" s="45"/>
      <c r="G107" s="45"/>
      <c r="H107" s="45" t="s">
        <v>1111</v>
      </c>
      <c r="I107" s="45" t="s">
        <v>1111</v>
      </c>
      <c r="J107" s="44">
        <v>3</v>
      </c>
      <c r="K107" s="46" t="s">
        <v>426</v>
      </c>
    </row>
    <row r="108" spans="1:11" ht="15" customHeight="1">
      <c r="A108" s="45" t="s">
        <v>499</v>
      </c>
      <c r="B108" s="45" t="s">
        <v>973</v>
      </c>
      <c r="C108" s="45" t="s">
        <v>122</v>
      </c>
      <c r="D108" s="45" t="s">
        <v>120</v>
      </c>
      <c r="E108" s="45" t="str">
        <f>VLOOKUP(C108,Average!B$2:D$56,3,FALSE)</f>
        <v>Mixed</v>
      </c>
      <c r="F108" s="45"/>
      <c r="G108" s="45"/>
      <c r="H108" s="45" t="s">
        <v>1111</v>
      </c>
      <c r="I108" s="45" t="s">
        <v>1111</v>
      </c>
      <c r="J108" s="44">
        <v>6</v>
      </c>
      <c r="K108" s="46" t="s">
        <v>407</v>
      </c>
    </row>
    <row r="109" spans="1:11" ht="15" customHeight="1">
      <c r="A109" s="45" t="s">
        <v>499</v>
      </c>
      <c r="B109" s="45" t="s">
        <v>973</v>
      </c>
      <c r="C109" s="45" t="s">
        <v>122</v>
      </c>
      <c r="D109" s="45" t="s">
        <v>120</v>
      </c>
      <c r="E109" s="45" t="str">
        <f>VLOOKUP(C109,Average!B$2:D$56,3,FALSE)</f>
        <v>Mixed</v>
      </c>
      <c r="F109" s="45"/>
      <c r="G109" s="45"/>
      <c r="H109" s="45" t="s">
        <v>1111</v>
      </c>
      <c r="I109" s="45" t="s">
        <v>1111</v>
      </c>
      <c r="J109" s="44" t="s">
        <v>500</v>
      </c>
      <c r="K109" s="46" t="s">
        <v>285</v>
      </c>
    </row>
    <row r="110" spans="1:11" ht="15" customHeight="1">
      <c r="A110" s="45" t="s">
        <v>535</v>
      </c>
      <c r="B110" s="45" t="s">
        <v>982</v>
      </c>
      <c r="C110" s="45" t="s">
        <v>95</v>
      </c>
      <c r="D110" s="45" t="s">
        <v>93</v>
      </c>
      <c r="E110" s="45" t="str">
        <f>VLOOKUP(C110,Average!B$2:D$56,3,FALSE)</f>
        <v>Mixed</v>
      </c>
      <c r="F110" s="45"/>
      <c r="G110" s="45"/>
      <c r="H110" s="45" t="s">
        <v>1111</v>
      </c>
      <c r="I110" s="45" t="s">
        <v>1111</v>
      </c>
      <c r="J110" s="44">
        <v>5</v>
      </c>
      <c r="K110" s="46" t="s">
        <v>369</v>
      </c>
    </row>
    <row r="111" spans="1:11" ht="15" customHeight="1">
      <c r="A111" s="45" t="s">
        <v>535</v>
      </c>
      <c r="B111" s="45" t="s">
        <v>982</v>
      </c>
      <c r="C111" s="45" t="s">
        <v>95</v>
      </c>
      <c r="D111" s="45" t="s">
        <v>93</v>
      </c>
      <c r="E111" s="45" t="str">
        <f>VLOOKUP(C111,Average!B$2:D$56,3,FALSE)</f>
        <v>Mixed</v>
      </c>
      <c r="F111" s="45"/>
      <c r="G111" s="45"/>
      <c r="H111" s="45" t="s">
        <v>1111</v>
      </c>
      <c r="I111" s="45" t="s">
        <v>1111</v>
      </c>
      <c r="J111" s="44" t="s">
        <v>880</v>
      </c>
      <c r="K111" s="46" t="s">
        <v>283</v>
      </c>
    </row>
    <row r="112" spans="1:11" ht="15" customHeight="1">
      <c r="A112" s="45" t="s">
        <v>789</v>
      </c>
      <c r="B112" s="45" t="s">
        <v>1072</v>
      </c>
      <c r="C112" s="45" t="s">
        <v>77</v>
      </c>
      <c r="D112" s="45" t="s">
        <v>102</v>
      </c>
      <c r="E112" s="45" t="str">
        <f>VLOOKUP(C112,Average!B$2:D$56,3,FALSE)</f>
        <v>Mixed</v>
      </c>
      <c r="F112" s="45"/>
      <c r="G112" s="45"/>
      <c r="H112" s="45" t="s">
        <v>1111</v>
      </c>
      <c r="I112" s="45" t="s">
        <v>1111</v>
      </c>
      <c r="J112" s="44" t="s">
        <v>422</v>
      </c>
      <c r="K112" s="46" t="s">
        <v>349</v>
      </c>
    </row>
    <row r="113" spans="1:11" ht="15" customHeight="1">
      <c r="A113" s="45" t="s">
        <v>789</v>
      </c>
      <c r="B113" s="45" t="s">
        <v>1072</v>
      </c>
      <c r="C113" s="45" t="s">
        <v>77</v>
      </c>
      <c r="D113" s="45" t="s">
        <v>102</v>
      </c>
      <c r="E113" s="45" t="str">
        <f>VLOOKUP(C113,Average!B$2:D$56,3,FALSE)</f>
        <v>Mixed</v>
      </c>
      <c r="F113" s="45"/>
      <c r="G113" s="45"/>
      <c r="H113" s="45" t="s">
        <v>1111</v>
      </c>
      <c r="I113" s="45" t="s">
        <v>1111</v>
      </c>
      <c r="J113" s="44" t="s">
        <v>790</v>
      </c>
      <c r="K113" s="46" t="s">
        <v>301</v>
      </c>
    </row>
    <row r="114" spans="1:11" ht="15" customHeight="1">
      <c r="A114" s="45" t="s">
        <v>789</v>
      </c>
      <c r="B114" s="45" t="s">
        <v>1072</v>
      </c>
      <c r="C114" s="45" t="s">
        <v>77</v>
      </c>
      <c r="D114" s="45" t="s">
        <v>102</v>
      </c>
      <c r="E114" s="45" t="str">
        <f>VLOOKUP(C114,Average!B$2:D$56,3,FALSE)</f>
        <v>Mixed</v>
      </c>
      <c r="F114" s="45"/>
      <c r="G114" s="45"/>
      <c r="H114" s="45" t="s">
        <v>1111</v>
      </c>
      <c r="I114" s="45" t="s">
        <v>1111</v>
      </c>
      <c r="J114" s="44" t="s">
        <v>791</v>
      </c>
      <c r="K114" s="46" t="s">
        <v>792</v>
      </c>
    </row>
    <row r="115" spans="1:11" ht="15" customHeight="1">
      <c r="A115" s="45" t="s">
        <v>789</v>
      </c>
      <c r="B115" s="45" t="s">
        <v>1072</v>
      </c>
      <c r="C115" s="45" t="s">
        <v>77</v>
      </c>
      <c r="D115" s="45" t="s">
        <v>102</v>
      </c>
      <c r="E115" s="45" t="str">
        <f>VLOOKUP(C115,Average!B$2:D$56,3,FALSE)</f>
        <v>Mixed</v>
      </c>
      <c r="F115" s="45"/>
      <c r="G115" s="45"/>
      <c r="H115" s="45" t="s">
        <v>1111</v>
      </c>
      <c r="I115" s="45" t="s">
        <v>1111</v>
      </c>
      <c r="J115" s="44" t="s">
        <v>793</v>
      </c>
      <c r="K115" s="46" t="s">
        <v>794</v>
      </c>
    </row>
    <row r="116" spans="1:11" ht="15" customHeight="1">
      <c r="A116" s="45" t="s">
        <v>789</v>
      </c>
      <c r="B116" s="45" t="s">
        <v>1072</v>
      </c>
      <c r="C116" s="45" t="s">
        <v>77</v>
      </c>
      <c r="D116" s="45" t="s">
        <v>102</v>
      </c>
      <c r="E116" s="45" t="str">
        <f>VLOOKUP(C116,Average!B$2:D$56,3,FALSE)</f>
        <v>Mixed</v>
      </c>
      <c r="F116" s="45"/>
      <c r="G116" s="45"/>
      <c r="H116" s="45" t="s">
        <v>1111</v>
      </c>
      <c r="I116" s="45" t="s">
        <v>1111</v>
      </c>
      <c r="J116" s="44">
        <v>5</v>
      </c>
      <c r="K116" s="46" t="s">
        <v>407</v>
      </c>
    </row>
    <row r="117" spans="1:11" ht="15" customHeight="1">
      <c r="A117" s="45" t="s">
        <v>789</v>
      </c>
      <c r="B117" s="45" t="s">
        <v>1072</v>
      </c>
      <c r="C117" s="45" t="s">
        <v>77</v>
      </c>
      <c r="D117" s="45" t="s">
        <v>102</v>
      </c>
      <c r="E117" s="45" t="str">
        <f>VLOOKUP(C117,Average!B$2:D$56,3,FALSE)</f>
        <v>Mixed</v>
      </c>
      <c r="F117" s="45"/>
      <c r="G117" s="45"/>
      <c r="H117" s="45" t="s">
        <v>1111</v>
      </c>
      <c r="I117" s="45" t="s">
        <v>1111</v>
      </c>
      <c r="J117" s="42"/>
      <c r="K117" s="46" t="s">
        <v>796</v>
      </c>
    </row>
    <row r="118" spans="1:11" ht="15" customHeight="1">
      <c r="A118" s="45" t="s">
        <v>789</v>
      </c>
      <c r="B118" s="45" t="s">
        <v>1072</v>
      </c>
      <c r="C118" s="45" t="s">
        <v>77</v>
      </c>
      <c r="D118" s="45" t="s">
        <v>102</v>
      </c>
      <c r="E118" s="45" t="str">
        <f>VLOOKUP(C118,Average!B$2:D$56,3,FALSE)</f>
        <v>Mixed</v>
      </c>
      <c r="F118" s="45"/>
      <c r="G118" s="45"/>
      <c r="H118" s="45" t="s">
        <v>1111</v>
      </c>
      <c r="I118" s="45" t="s">
        <v>1111</v>
      </c>
      <c r="J118" s="44"/>
      <c r="K118" s="46" t="s">
        <v>798</v>
      </c>
    </row>
    <row r="119" spans="1:11" ht="15" customHeight="1">
      <c r="A119" s="45" t="s">
        <v>789</v>
      </c>
      <c r="B119" s="45" t="s">
        <v>1072</v>
      </c>
      <c r="C119" s="45" t="s">
        <v>77</v>
      </c>
      <c r="D119" s="45" t="s">
        <v>102</v>
      </c>
      <c r="E119" s="45" t="str">
        <f>VLOOKUP(C119,Average!B$2:D$56,3,FALSE)</f>
        <v>Mixed</v>
      </c>
      <c r="F119" s="45"/>
      <c r="G119" s="45"/>
      <c r="H119" s="45" t="s">
        <v>1111</v>
      </c>
      <c r="I119" s="45" t="s">
        <v>1111</v>
      </c>
      <c r="J119" s="44" t="s">
        <v>799</v>
      </c>
      <c r="K119" s="46" t="s">
        <v>463</v>
      </c>
    </row>
    <row r="120" spans="1:11" ht="15" customHeight="1">
      <c r="A120" s="45" t="s">
        <v>789</v>
      </c>
      <c r="B120" s="45" t="s">
        <v>1072</v>
      </c>
      <c r="C120" s="45" t="s">
        <v>77</v>
      </c>
      <c r="D120" s="45" t="s">
        <v>102</v>
      </c>
      <c r="E120" s="45" t="str">
        <f>VLOOKUP(C120,Average!B$2:D$56,3,FALSE)</f>
        <v>Mixed</v>
      </c>
      <c r="F120" s="45"/>
      <c r="G120" s="45"/>
      <c r="H120" s="45" t="s">
        <v>1111</v>
      </c>
      <c r="I120" s="45" t="s">
        <v>1111</v>
      </c>
      <c r="J120" s="44">
        <v>8</v>
      </c>
      <c r="K120" s="46" t="s">
        <v>664</v>
      </c>
    </row>
    <row r="121" spans="1:11" ht="15" customHeight="1">
      <c r="A121" s="45" t="s">
        <v>789</v>
      </c>
      <c r="B121" s="45" t="s">
        <v>1072</v>
      </c>
      <c r="C121" s="45" t="s">
        <v>77</v>
      </c>
      <c r="D121" s="45" t="s">
        <v>102</v>
      </c>
      <c r="E121" s="45" t="str">
        <f>VLOOKUP(C121,Average!B$2:D$56,3,FALSE)</f>
        <v>Mixed</v>
      </c>
      <c r="F121" s="45"/>
      <c r="G121" s="45"/>
      <c r="H121" s="45" t="s">
        <v>1111</v>
      </c>
      <c r="I121" s="45" t="s">
        <v>1111</v>
      </c>
      <c r="J121" s="44">
        <v>2</v>
      </c>
      <c r="K121" s="46" t="s">
        <v>800</v>
      </c>
    </row>
    <row r="122" spans="1:11" ht="15" customHeight="1">
      <c r="A122" s="45" t="s">
        <v>421</v>
      </c>
      <c r="B122" s="45" t="s">
        <v>943</v>
      </c>
      <c r="C122" s="45" t="s">
        <v>58</v>
      </c>
      <c r="D122" s="45" t="s">
        <v>56</v>
      </c>
      <c r="E122" s="45" t="str">
        <f>VLOOKUP(C122,Average!B$2:D$56,3,FALSE)</f>
        <v>Mixed</v>
      </c>
      <c r="F122" s="45"/>
      <c r="G122" s="45"/>
      <c r="H122" s="45" t="s">
        <v>1111</v>
      </c>
      <c r="I122" s="45" t="s">
        <v>1111</v>
      </c>
      <c r="J122" s="44" t="s">
        <v>423</v>
      </c>
      <c r="K122" s="46" t="s">
        <v>316</v>
      </c>
    </row>
    <row r="123" spans="1:11" ht="15" customHeight="1">
      <c r="A123" s="45" t="s">
        <v>424</v>
      </c>
      <c r="B123" s="45" t="s">
        <v>943</v>
      </c>
      <c r="C123" s="45" t="s">
        <v>58</v>
      </c>
      <c r="D123" s="45" t="s">
        <v>56</v>
      </c>
      <c r="E123" s="45" t="str">
        <f>VLOOKUP(C123,Average!B$2:D$56,3,FALSE)</f>
        <v>Mixed</v>
      </c>
      <c r="F123" s="45"/>
      <c r="G123" s="45"/>
      <c r="H123" s="45" t="s">
        <v>1111</v>
      </c>
      <c r="I123" s="45" t="s">
        <v>1111</v>
      </c>
      <c r="J123" s="44"/>
      <c r="K123" s="46" t="s">
        <v>425</v>
      </c>
    </row>
    <row r="124" spans="1:11" ht="15" customHeight="1">
      <c r="A124" s="45" t="s">
        <v>421</v>
      </c>
      <c r="B124" s="45" t="s">
        <v>943</v>
      </c>
      <c r="C124" s="45" t="s">
        <v>58</v>
      </c>
      <c r="D124" s="45" t="s">
        <v>56</v>
      </c>
      <c r="E124" s="45" t="str">
        <f>VLOOKUP(C124,Average!B$2:D$56,3,FALSE)</f>
        <v>Mixed</v>
      </c>
      <c r="F124" s="45"/>
      <c r="G124" s="45"/>
      <c r="H124" s="45" t="s">
        <v>1111</v>
      </c>
      <c r="I124" s="45" t="s">
        <v>1111</v>
      </c>
      <c r="J124" s="44">
        <v>1</v>
      </c>
      <c r="K124" s="46" t="s">
        <v>426</v>
      </c>
    </row>
    <row r="125" spans="1:11" ht="15" customHeight="1">
      <c r="A125" s="45" t="s">
        <v>421</v>
      </c>
      <c r="B125" s="45" t="s">
        <v>943</v>
      </c>
      <c r="C125" s="45" t="s">
        <v>58</v>
      </c>
      <c r="D125" s="45" t="s">
        <v>56</v>
      </c>
      <c r="E125" s="45" t="str">
        <f>VLOOKUP(C125,Average!B$2:D$56,3,FALSE)</f>
        <v>Mixed</v>
      </c>
      <c r="F125" s="45"/>
      <c r="G125" s="45"/>
      <c r="H125" s="45" t="s">
        <v>1111</v>
      </c>
      <c r="I125" s="45" t="s">
        <v>1111</v>
      </c>
      <c r="J125" s="44" t="s">
        <v>878</v>
      </c>
      <c r="K125" s="46" t="s">
        <v>283</v>
      </c>
    </row>
    <row r="126" spans="1:11" ht="15" customHeight="1">
      <c r="A126" s="45" t="s">
        <v>421</v>
      </c>
      <c r="B126" s="45" t="s">
        <v>943</v>
      </c>
      <c r="C126" s="45" t="s">
        <v>58</v>
      </c>
      <c r="D126" s="45" t="s">
        <v>56</v>
      </c>
      <c r="E126" s="45" t="str">
        <f>VLOOKUP(C126,Average!B$2:D$56,3,FALSE)</f>
        <v>Mixed</v>
      </c>
      <c r="F126" s="45"/>
      <c r="G126" s="45"/>
      <c r="H126" s="45" t="s">
        <v>1111</v>
      </c>
      <c r="I126" s="45" t="s">
        <v>1111</v>
      </c>
      <c r="J126" s="47">
        <v>45325</v>
      </c>
      <c r="K126" s="46" t="s">
        <v>400</v>
      </c>
    </row>
    <row r="127" spans="1:11" ht="15" customHeight="1">
      <c r="A127" s="45" t="s">
        <v>421</v>
      </c>
      <c r="B127" s="45" t="s">
        <v>943</v>
      </c>
      <c r="C127" s="45" t="s">
        <v>58</v>
      </c>
      <c r="D127" s="45" t="s">
        <v>56</v>
      </c>
      <c r="E127" s="45" t="str">
        <f>VLOOKUP(C127,Average!B$2:D$56,3,FALSE)</f>
        <v>Mixed</v>
      </c>
      <c r="F127" s="45"/>
      <c r="G127" s="45"/>
      <c r="H127" s="45" t="s">
        <v>1111</v>
      </c>
      <c r="I127" s="45" t="s">
        <v>1111</v>
      </c>
      <c r="J127" s="44" t="s">
        <v>429</v>
      </c>
      <c r="K127" s="46" t="s">
        <v>319</v>
      </c>
    </row>
    <row r="128" spans="1:11" ht="15" customHeight="1">
      <c r="A128" s="45" t="s">
        <v>421</v>
      </c>
      <c r="B128" s="45" t="s">
        <v>943</v>
      </c>
      <c r="C128" s="45" t="s">
        <v>58</v>
      </c>
      <c r="D128" s="45" t="s">
        <v>56</v>
      </c>
      <c r="E128" s="45" t="str">
        <f>VLOOKUP(C128,Average!B$2:D$56,3,FALSE)</f>
        <v>Mixed</v>
      </c>
      <c r="F128" s="45"/>
      <c r="G128" s="45"/>
      <c r="H128" s="45" t="s">
        <v>1111</v>
      </c>
      <c r="I128" s="45" t="s">
        <v>1111</v>
      </c>
      <c r="J128" s="44">
        <v>6</v>
      </c>
      <c r="K128" s="46" t="s">
        <v>361</v>
      </c>
    </row>
    <row r="129" spans="1:11" ht="15" customHeight="1">
      <c r="A129" s="45" t="s">
        <v>421</v>
      </c>
      <c r="B129" s="45" t="s">
        <v>943</v>
      </c>
      <c r="C129" s="45" t="s">
        <v>58</v>
      </c>
      <c r="D129" s="45" t="s">
        <v>56</v>
      </c>
      <c r="E129" s="45" t="str">
        <f>VLOOKUP(C129,Average!B$2:D$56,3,FALSE)</f>
        <v>Mixed</v>
      </c>
      <c r="F129" s="45"/>
      <c r="G129" s="45"/>
      <c r="H129" s="45" t="s">
        <v>1111</v>
      </c>
      <c r="I129" s="45" t="s">
        <v>1111</v>
      </c>
      <c r="J129" s="44" t="s">
        <v>431</v>
      </c>
      <c r="K129" s="46" t="s">
        <v>346</v>
      </c>
    </row>
    <row r="130" spans="1:11" ht="15" customHeight="1">
      <c r="A130" s="45" t="s">
        <v>421</v>
      </c>
      <c r="B130" s="45" t="s">
        <v>943</v>
      </c>
      <c r="C130" s="45" t="s">
        <v>58</v>
      </c>
      <c r="D130" s="45" t="s">
        <v>56</v>
      </c>
      <c r="E130" s="45" t="str">
        <f>VLOOKUP(C130,Average!B$2:D$56,3,FALSE)</f>
        <v>Mixed</v>
      </c>
      <c r="F130" s="45"/>
      <c r="G130" s="45"/>
      <c r="H130" s="45" t="s">
        <v>1111</v>
      </c>
      <c r="I130" s="45" t="s">
        <v>1111</v>
      </c>
      <c r="J130" s="44"/>
      <c r="K130" s="46" t="s">
        <v>432</v>
      </c>
    </row>
    <row r="131" spans="1:11" ht="15" customHeight="1">
      <c r="A131" s="45" t="s">
        <v>421</v>
      </c>
      <c r="B131" s="45" t="s">
        <v>943</v>
      </c>
      <c r="C131" s="45" t="s">
        <v>58</v>
      </c>
      <c r="D131" s="45" t="s">
        <v>56</v>
      </c>
      <c r="E131" s="45" t="str">
        <f>VLOOKUP(C131,Average!B$2:D$56,3,FALSE)</f>
        <v>Mixed</v>
      </c>
      <c r="F131" s="45"/>
      <c r="G131" s="45"/>
      <c r="H131" s="45" t="s">
        <v>1111</v>
      </c>
      <c r="I131" s="45" t="s">
        <v>1111</v>
      </c>
      <c r="J131" s="44">
        <v>2</v>
      </c>
      <c r="K131" s="46" t="s">
        <v>433</v>
      </c>
    </row>
    <row r="132" spans="1:11" ht="15" customHeight="1">
      <c r="A132" s="45" t="s">
        <v>421</v>
      </c>
      <c r="B132" s="45" t="s">
        <v>943</v>
      </c>
      <c r="C132" s="45" t="s">
        <v>58</v>
      </c>
      <c r="D132" s="45" t="s">
        <v>56</v>
      </c>
      <c r="E132" s="45" t="str">
        <f>VLOOKUP(C132,Average!B$2:D$56,3,FALSE)</f>
        <v>Mixed</v>
      </c>
      <c r="F132" s="45"/>
      <c r="G132" s="45"/>
      <c r="H132" s="45" t="s">
        <v>1111</v>
      </c>
      <c r="I132" s="45" t="s">
        <v>1111</v>
      </c>
      <c r="J132" s="44"/>
      <c r="K132" s="46" t="s">
        <v>434</v>
      </c>
    </row>
    <row r="133" spans="1:11" ht="15" customHeight="1">
      <c r="A133" s="45" t="s">
        <v>421</v>
      </c>
      <c r="B133" s="45" t="s">
        <v>943</v>
      </c>
      <c r="C133" s="45" t="s">
        <v>58</v>
      </c>
      <c r="D133" s="45" t="s">
        <v>56</v>
      </c>
      <c r="E133" s="45" t="str">
        <f>VLOOKUP(C133,Average!B$2:D$56,3,FALSE)</f>
        <v>Mixed</v>
      </c>
      <c r="F133" s="45"/>
      <c r="G133" s="45"/>
      <c r="H133" s="45" t="s">
        <v>1111</v>
      </c>
      <c r="I133" s="45" t="s">
        <v>1111</v>
      </c>
      <c r="J133" s="43"/>
      <c r="K133" s="46" t="s">
        <v>435</v>
      </c>
    </row>
    <row r="134" spans="1:11" ht="15" customHeight="1">
      <c r="A134" s="45" t="s">
        <v>421</v>
      </c>
      <c r="B134" s="45" t="s">
        <v>943</v>
      </c>
      <c r="C134" s="45" t="s">
        <v>58</v>
      </c>
      <c r="D134" s="45" t="s">
        <v>56</v>
      </c>
      <c r="E134" s="45" t="str">
        <f>VLOOKUP(C134,Average!B$2:D$56,3,FALSE)</f>
        <v>Mixed</v>
      </c>
      <c r="F134" s="45"/>
      <c r="G134" s="45"/>
      <c r="H134" s="45" t="s">
        <v>1111</v>
      </c>
      <c r="I134" s="45" t="s">
        <v>1111</v>
      </c>
      <c r="J134" s="43"/>
      <c r="K134" s="46" t="s">
        <v>436</v>
      </c>
    </row>
    <row r="135" spans="1:11" ht="15" customHeight="1">
      <c r="A135" s="45" t="s">
        <v>509</v>
      </c>
      <c r="B135" s="45" t="s">
        <v>978</v>
      </c>
      <c r="C135" s="45" t="s">
        <v>31</v>
      </c>
      <c r="D135" s="45" t="s">
        <v>29</v>
      </c>
      <c r="E135" s="45" t="str">
        <f>VLOOKUP(C135,Average!B$2:D$56,3,FALSE)</f>
        <v>Mostly infantile</v>
      </c>
      <c r="F135" s="45"/>
      <c r="G135" s="45"/>
      <c r="H135" s="45" t="s">
        <v>1111</v>
      </c>
      <c r="I135" s="45" t="s">
        <v>1111</v>
      </c>
      <c r="J135" s="44" t="s">
        <v>510</v>
      </c>
      <c r="K135" s="46" t="s">
        <v>349</v>
      </c>
    </row>
    <row r="136" spans="1:11" ht="15" customHeight="1">
      <c r="A136" s="45" t="s">
        <v>509</v>
      </c>
      <c r="B136" s="45" t="s">
        <v>978</v>
      </c>
      <c r="C136" s="45" t="s">
        <v>31</v>
      </c>
      <c r="D136" s="45" t="s">
        <v>29</v>
      </c>
      <c r="E136" s="45" t="str">
        <f>VLOOKUP(C136,Average!B$2:D$56,3,FALSE)</f>
        <v>Mostly infantile</v>
      </c>
      <c r="F136" s="45"/>
      <c r="G136" s="45"/>
      <c r="H136" s="45" t="s">
        <v>1111</v>
      </c>
      <c r="I136" s="45" t="s">
        <v>1111</v>
      </c>
      <c r="J136" s="44">
        <v>5</v>
      </c>
      <c r="K136" s="46" t="s">
        <v>301</v>
      </c>
    </row>
    <row r="137" spans="1:11" ht="15" customHeight="1">
      <c r="A137" s="45" t="s">
        <v>509</v>
      </c>
      <c r="B137" s="45" t="s">
        <v>978</v>
      </c>
      <c r="C137" s="45" t="s">
        <v>31</v>
      </c>
      <c r="D137" s="45" t="s">
        <v>29</v>
      </c>
      <c r="E137" s="45" t="str">
        <f>VLOOKUP(C137,Average!B$2:D$56,3,FALSE)</f>
        <v>Mostly infantile</v>
      </c>
      <c r="F137" s="45"/>
      <c r="G137" s="45"/>
      <c r="H137" s="45" t="s">
        <v>1111</v>
      </c>
      <c r="I137" s="45" t="s">
        <v>1111</v>
      </c>
      <c r="J137" s="44">
        <v>1</v>
      </c>
      <c r="K137" s="46" t="s">
        <v>369</v>
      </c>
    </row>
    <row r="138" spans="1:11" ht="15" customHeight="1">
      <c r="A138" s="45" t="s">
        <v>509</v>
      </c>
      <c r="B138" s="45" t="s">
        <v>978</v>
      </c>
      <c r="C138" s="45" t="s">
        <v>31</v>
      </c>
      <c r="D138" s="45" t="s">
        <v>29</v>
      </c>
      <c r="E138" s="45" t="str">
        <f>VLOOKUP(C138,Average!B$2:D$56,3,FALSE)</f>
        <v>Mostly infantile</v>
      </c>
      <c r="F138" s="45"/>
      <c r="G138" s="45"/>
      <c r="H138" s="45" t="s">
        <v>1111</v>
      </c>
      <c r="I138" s="45" t="s">
        <v>1111</v>
      </c>
      <c r="J138" s="44" t="s">
        <v>511</v>
      </c>
      <c r="K138" s="46" t="s">
        <v>316</v>
      </c>
    </row>
    <row r="139" spans="1:11" ht="15" customHeight="1">
      <c r="A139" s="45" t="s">
        <v>509</v>
      </c>
      <c r="B139" s="45" t="s">
        <v>978</v>
      </c>
      <c r="C139" s="45" t="s">
        <v>31</v>
      </c>
      <c r="D139" s="45" t="s">
        <v>29</v>
      </c>
      <c r="E139" s="45" t="str">
        <f>VLOOKUP(C139,Average!B$2:D$56,3,FALSE)</f>
        <v>Mostly infantile</v>
      </c>
      <c r="F139" s="45"/>
      <c r="G139" s="45"/>
      <c r="H139" s="45" t="s">
        <v>1111</v>
      </c>
      <c r="I139" s="45" t="s">
        <v>1111</v>
      </c>
      <c r="J139" s="48" t="s">
        <v>350</v>
      </c>
      <c r="K139" s="46" t="s">
        <v>512</v>
      </c>
    </row>
    <row r="140" spans="1:11" ht="15" customHeight="1">
      <c r="A140" s="45" t="s">
        <v>509</v>
      </c>
      <c r="B140" s="45" t="s">
        <v>978</v>
      </c>
      <c r="C140" s="45" t="s">
        <v>31</v>
      </c>
      <c r="D140" s="45" t="s">
        <v>29</v>
      </c>
      <c r="E140" s="45" t="str">
        <f>VLOOKUP(C140,Average!B$2:D$56,3,FALSE)</f>
        <v>Mostly infantile</v>
      </c>
      <c r="F140" s="45"/>
      <c r="G140" s="45"/>
      <c r="H140" s="45" t="s">
        <v>1111</v>
      </c>
      <c r="I140" s="45" t="s">
        <v>1111</v>
      </c>
      <c r="J140" s="48" t="s">
        <v>853</v>
      </c>
      <c r="K140" s="46" t="s">
        <v>513</v>
      </c>
    </row>
    <row r="141" spans="1:11" ht="15" customHeight="1">
      <c r="A141" s="45" t="s">
        <v>509</v>
      </c>
      <c r="B141" s="45" t="s">
        <v>978</v>
      </c>
      <c r="C141" s="45" t="s">
        <v>31</v>
      </c>
      <c r="D141" s="45" t="s">
        <v>29</v>
      </c>
      <c r="E141" s="45" t="str">
        <f>VLOOKUP(C141,Average!B$2:D$56,3,FALSE)</f>
        <v>Mostly infantile</v>
      </c>
      <c r="F141" s="45"/>
      <c r="G141" s="45"/>
      <c r="H141" s="45" t="s">
        <v>1111</v>
      </c>
      <c r="I141" s="45" t="s">
        <v>1111</v>
      </c>
      <c r="J141" s="44">
        <v>3</v>
      </c>
      <c r="K141" s="46" t="s">
        <v>354</v>
      </c>
    </row>
    <row r="142" spans="1:11" ht="15" customHeight="1">
      <c r="A142" s="45" t="s">
        <v>509</v>
      </c>
      <c r="B142" s="45" t="s">
        <v>978</v>
      </c>
      <c r="C142" s="45" t="s">
        <v>31</v>
      </c>
      <c r="D142" s="45" t="s">
        <v>29</v>
      </c>
      <c r="E142" s="45" t="str">
        <f>VLOOKUP(C142,Average!B$2:D$56,3,FALSE)</f>
        <v>Mostly infantile</v>
      </c>
      <c r="F142" s="45"/>
      <c r="G142" s="45"/>
      <c r="H142" s="45" t="s">
        <v>1111</v>
      </c>
      <c r="I142" s="45" t="s">
        <v>1111</v>
      </c>
      <c r="J142" s="44">
        <v>2</v>
      </c>
      <c r="K142" s="46" t="s">
        <v>406</v>
      </c>
    </row>
    <row r="143" spans="1:11" ht="15" customHeight="1">
      <c r="A143" s="45" t="s">
        <v>509</v>
      </c>
      <c r="B143" s="45" t="s">
        <v>978</v>
      </c>
      <c r="C143" s="45" t="s">
        <v>31</v>
      </c>
      <c r="D143" s="45" t="s">
        <v>29</v>
      </c>
      <c r="E143" s="45" t="str">
        <f>VLOOKUP(C143,Average!B$2:D$56,3,FALSE)</f>
        <v>Mostly infantile</v>
      </c>
      <c r="F143" s="45"/>
      <c r="G143" s="45"/>
      <c r="H143" s="45" t="s">
        <v>1111</v>
      </c>
      <c r="I143" s="45" t="s">
        <v>1111</v>
      </c>
      <c r="J143" s="44"/>
      <c r="K143" s="46" t="s">
        <v>318</v>
      </c>
    </row>
    <row r="144" spans="1:11" ht="15" customHeight="1">
      <c r="A144" s="45" t="s">
        <v>509</v>
      </c>
      <c r="B144" s="45" t="s">
        <v>978</v>
      </c>
      <c r="C144" s="45" t="s">
        <v>31</v>
      </c>
      <c r="D144" s="45" t="s">
        <v>29</v>
      </c>
      <c r="E144" s="45" t="str">
        <f>VLOOKUP(C144,Average!B$2:D$56,3,FALSE)</f>
        <v>Mostly infantile</v>
      </c>
      <c r="F144" s="45"/>
      <c r="G144" s="45"/>
      <c r="H144" s="45" t="s">
        <v>1111</v>
      </c>
      <c r="I144" s="45" t="s">
        <v>1111</v>
      </c>
      <c r="J144" s="47">
        <v>45387</v>
      </c>
      <c r="K144" s="46" t="s">
        <v>319</v>
      </c>
    </row>
    <row r="145" spans="1:11" ht="15" customHeight="1">
      <c r="A145" s="45" t="s">
        <v>509</v>
      </c>
      <c r="B145" s="45" t="s">
        <v>978</v>
      </c>
      <c r="C145" s="45" t="s">
        <v>31</v>
      </c>
      <c r="D145" s="45" t="s">
        <v>29</v>
      </c>
      <c r="E145" s="45" t="str">
        <f>VLOOKUP(C145,Average!B$2:D$56,3,FALSE)</f>
        <v>Mostly infantile</v>
      </c>
      <c r="F145" s="45"/>
      <c r="G145" s="45"/>
      <c r="H145" s="45" t="s">
        <v>1111</v>
      </c>
      <c r="I145" s="45" t="s">
        <v>1111</v>
      </c>
      <c r="J145" s="44"/>
      <c r="K145" s="46" t="s">
        <v>517</v>
      </c>
    </row>
    <row r="146" spans="1:11" ht="15" customHeight="1">
      <c r="A146" s="45" t="s">
        <v>509</v>
      </c>
      <c r="B146" s="45" t="s">
        <v>978</v>
      </c>
      <c r="C146" s="45" t="s">
        <v>31</v>
      </c>
      <c r="D146" s="45" t="s">
        <v>29</v>
      </c>
      <c r="E146" s="45" t="str">
        <f>VLOOKUP(C146,Average!B$2:D$56,3,FALSE)</f>
        <v>Mostly infantile</v>
      </c>
      <c r="F146" s="45"/>
      <c r="G146" s="45"/>
      <c r="H146" s="45" t="s">
        <v>1111</v>
      </c>
      <c r="I146" s="45" t="s">
        <v>1111</v>
      </c>
      <c r="J146" s="44"/>
      <c r="K146" s="46" t="s">
        <v>518</v>
      </c>
    </row>
    <row r="147" spans="1:11" ht="15" customHeight="1">
      <c r="A147" s="45" t="s">
        <v>509</v>
      </c>
      <c r="B147" s="45" t="s">
        <v>978</v>
      </c>
      <c r="C147" s="45" t="s">
        <v>31</v>
      </c>
      <c r="D147" s="45" t="s">
        <v>29</v>
      </c>
      <c r="E147" s="45" t="str">
        <f>VLOOKUP(C147,Average!B$2:D$56,3,FALSE)</f>
        <v>Mostly infantile</v>
      </c>
      <c r="F147" s="45"/>
      <c r="G147" s="45"/>
      <c r="H147" s="45" t="s">
        <v>1111</v>
      </c>
      <c r="I147" s="45" t="s">
        <v>1111</v>
      </c>
      <c r="J147" s="44"/>
      <c r="K147" s="46" t="s">
        <v>519</v>
      </c>
    </row>
    <row r="148" spans="1:11" ht="15" customHeight="1">
      <c r="A148" s="45" t="s">
        <v>347</v>
      </c>
      <c r="B148" s="45" t="s">
        <v>927</v>
      </c>
      <c r="C148" s="45" t="s">
        <v>55</v>
      </c>
      <c r="D148" s="45" t="s">
        <v>53</v>
      </c>
      <c r="E148" s="45" t="str">
        <f>VLOOKUP(C148,Average!B$2:D$56,3,FALSE)</f>
        <v>Mostly infantile</v>
      </c>
      <c r="F148" s="45"/>
      <c r="G148" s="45"/>
      <c r="H148" s="45" t="s">
        <v>1111</v>
      </c>
      <c r="I148" s="45" t="s">
        <v>1111</v>
      </c>
      <c r="J148" s="44" t="s">
        <v>348</v>
      </c>
      <c r="K148" s="46" t="s">
        <v>349</v>
      </c>
    </row>
    <row r="149" spans="1:11" ht="15" customHeight="1">
      <c r="A149" s="45" t="s">
        <v>347</v>
      </c>
      <c r="B149" s="45" t="s">
        <v>927</v>
      </c>
      <c r="C149" s="45" t="s">
        <v>55</v>
      </c>
      <c r="D149" s="45" t="s">
        <v>53</v>
      </c>
      <c r="E149" s="45" t="str">
        <f>VLOOKUP(C149,Average!B$2:D$56,3,FALSE)</f>
        <v>Mostly infantile</v>
      </c>
      <c r="F149" s="45"/>
      <c r="G149" s="45"/>
      <c r="H149" s="45" t="s">
        <v>1111</v>
      </c>
      <c r="I149" s="45" t="s">
        <v>1111</v>
      </c>
      <c r="J149" s="48" t="s">
        <v>350</v>
      </c>
      <c r="K149" s="46" t="s">
        <v>351</v>
      </c>
    </row>
    <row r="150" spans="1:11" ht="15" customHeight="1">
      <c r="A150" s="45" t="s">
        <v>352</v>
      </c>
      <c r="B150" s="45" t="s">
        <v>927</v>
      </c>
      <c r="C150" s="45" t="s">
        <v>55</v>
      </c>
      <c r="D150" s="45" t="s">
        <v>53</v>
      </c>
      <c r="E150" s="45" t="str">
        <f>VLOOKUP(C150,Average!B$2:D$56,3,FALSE)</f>
        <v>Mostly infantile</v>
      </c>
      <c r="F150" s="45"/>
      <c r="G150" s="45"/>
      <c r="H150" s="45" t="s">
        <v>1111</v>
      </c>
      <c r="I150" s="45" t="s">
        <v>1111</v>
      </c>
      <c r="J150" s="44">
        <v>2</v>
      </c>
      <c r="K150" s="46" t="s">
        <v>301</v>
      </c>
    </row>
    <row r="151" spans="1:11" ht="15" customHeight="1">
      <c r="A151" s="45" t="s">
        <v>352</v>
      </c>
      <c r="B151" s="45" t="s">
        <v>927</v>
      </c>
      <c r="C151" s="45" t="s">
        <v>55</v>
      </c>
      <c r="D151" s="45" t="s">
        <v>53</v>
      </c>
      <c r="E151" s="45" t="str">
        <f>VLOOKUP(C151,Average!B$2:D$56,3,FALSE)</f>
        <v>Mostly infantile</v>
      </c>
      <c r="F151" s="45"/>
      <c r="G151" s="45"/>
      <c r="H151" s="45" t="s">
        <v>1111</v>
      </c>
      <c r="I151" s="45" t="s">
        <v>1111</v>
      </c>
      <c r="J151" s="44" t="s">
        <v>353</v>
      </c>
      <c r="K151" s="46" t="s">
        <v>354</v>
      </c>
    </row>
    <row r="152" spans="1:11" ht="15" customHeight="1">
      <c r="A152" s="45" t="s">
        <v>352</v>
      </c>
      <c r="B152" s="45" t="s">
        <v>927</v>
      </c>
      <c r="C152" s="45" t="s">
        <v>55</v>
      </c>
      <c r="D152" s="45" t="s">
        <v>53</v>
      </c>
      <c r="E152" s="45" t="str">
        <f>VLOOKUP(C152,Average!B$2:D$56,3,FALSE)</f>
        <v>Mostly infantile</v>
      </c>
      <c r="F152" s="45"/>
      <c r="G152" s="45"/>
      <c r="H152" s="45" t="s">
        <v>1111</v>
      </c>
      <c r="I152" s="45" t="s">
        <v>1111</v>
      </c>
      <c r="J152" s="54" t="s">
        <v>1100</v>
      </c>
      <c r="K152" s="46" t="s">
        <v>283</v>
      </c>
    </row>
    <row r="153" spans="1:11" ht="15" customHeight="1">
      <c r="A153" s="45" t="s">
        <v>352</v>
      </c>
      <c r="B153" s="45" t="s">
        <v>927</v>
      </c>
      <c r="C153" s="45" t="s">
        <v>55</v>
      </c>
      <c r="D153" s="45" t="s">
        <v>53</v>
      </c>
      <c r="E153" s="45" t="str">
        <f>VLOOKUP(C153,Average!B$2:D$56,3,FALSE)</f>
        <v>Mostly infantile</v>
      </c>
      <c r="F153" s="45"/>
      <c r="G153" s="45"/>
      <c r="H153" s="45" t="s">
        <v>1111</v>
      </c>
      <c r="I153" s="45" t="s">
        <v>1111</v>
      </c>
      <c r="J153" s="44"/>
      <c r="K153" s="45" t="s">
        <v>833</v>
      </c>
    </row>
    <row r="154" spans="1:11" ht="15" customHeight="1">
      <c r="A154" s="45" t="s">
        <v>352</v>
      </c>
      <c r="B154" s="45" t="s">
        <v>927</v>
      </c>
      <c r="C154" s="45" t="s">
        <v>55</v>
      </c>
      <c r="D154" s="45" t="s">
        <v>53</v>
      </c>
      <c r="E154" s="45" t="str">
        <f>VLOOKUP(C154,Average!B$2:D$56,3,FALSE)</f>
        <v>Mostly infantile</v>
      </c>
      <c r="F154" s="45"/>
      <c r="G154" s="45"/>
      <c r="H154" s="45" t="s">
        <v>1111</v>
      </c>
      <c r="I154" s="45" t="s">
        <v>1111</v>
      </c>
      <c r="J154" s="43" t="s">
        <v>281</v>
      </c>
      <c r="K154" s="46" t="s">
        <v>357</v>
      </c>
    </row>
    <row r="155" spans="1:11" ht="15" customHeight="1">
      <c r="A155" s="45" t="s">
        <v>352</v>
      </c>
      <c r="B155" s="45" t="s">
        <v>927</v>
      </c>
      <c r="C155" s="45" t="s">
        <v>55</v>
      </c>
      <c r="D155" s="45" t="s">
        <v>53</v>
      </c>
      <c r="E155" s="45" t="str">
        <f>VLOOKUP(C155,Average!B$2:D$56,3,FALSE)</f>
        <v>Mostly infantile</v>
      </c>
      <c r="F155" s="45"/>
      <c r="G155" s="45"/>
      <c r="H155" s="45" t="s">
        <v>1111</v>
      </c>
      <c r="I155" s="45" t="s">
        <v>1111</v>
      </c>
      <c r="J155" s="45"/>
      <c r="K155" s="46" t="s">
        <v>358</v>
      </c>
    </row>
    <row r="156" spans="1:11" ht="15" customHeight="1">
      <c r="A156" s="45" t="s">
        <v>352</v>
      </c>
      <c r="B156" s="45" t="s">
        <v>927</v>
      </c>
      <c r="C156" s="45" t="s">
        <v>55</v>
      </c>
      <c r="D156" s="45" t="s">
        <v>53</v>
      </c>
      <c r="E156" s="45" t="str">
        <f>VLOOKUP(C156,Average!B$2:D$56,3,FALSE)</f>
        <v>Mostly infantile</v>
      </c>
      <c r="F156" s="45"/>
      <c r="G156" s="45"/>
      <c r="H156" s="45" t="s">
        <v>1111</v>
      </c>
      <c r="I156" s="45" t="s">
        <v>1111</v>
      </c>
      <c r="J156" s="44" t="s">
        <v>359</v>
      </c>
      <c r="K156" s="46" t="s">
        <v>319</v>
      </c>
    </row>
    <row r="157" spans="1:11" ht="15" customHeight="1">
      <c r="A157" s="45" t="s">
        <v>352</v>
      </c>
      <c r="B157" s="45" t="s">
        <v>927</v>
      </c>
      <c r="C157" s="45" t="s">
        <v>55</v>
      </c>
      <c r="D157" s="45" t="s">
        <v>53</v>
      </c>
      <c r="E157" s="45" t="str">
        <f>VLOOKUP(C157,Average!B$2:D$56,3,FALSE)</f>
        <v>Mostly infantile</v>
      </c>
      <c r="F157" s="45"/>
      <c r="G157" s="45"/>
      <c r="H157" s="45" t="s">
        <v>1111</v>
      </c>
      <c r="I157" s="45" t="s">
        <v>1111</v>
      </c>
      <c r="J157" s="44" t="s">
        <v>360</v>
      </c>
      <c r="K157" s="46" t="s">
        <v>361</v>
      </c>
    </row>
    <row r="158" spans="1:11" ht="15" customHeight="1">
      <c r="A158" s="45" t="s">
        <v>364</v>
      </c>
      <c r="B158" s="45" t="s">
        <v>929</v>
      </c>
      <c r="C158" s="45" t="s">
        <v>86</v>
      </c>
      <c r="D158" s="45" t="s">
        <v>84</v>
      </c>
      <c r="E158" s="45" t="str">
        <f>VLOOKUP(C158,Average!B$2:D$56,3,FALSE)</f>
        <v>Mostly infantile</v>
      </c>
      <c r="F158" s="45"/>
      <c r="G158" s="45"/>
      <c r="H158" s="45" t="s">
        <v>1111</v>
      </c>
      <c r="I158" s="45" t="s">
        <v>1111</v>
      </c>
      <c r="J158" s="44" t="s">
        <v>365</v>
      </c>
      <c r="K158" s="46" t="s">
        <v>349</v>
      </c>
    </row>
    <row r="159" spans="1:11" ht="15" customHeight="1">
      <c r="A159" s="45" t="s">
        <v>366</v>
      </c>
      <c r="B159" s="45" t="s">
        <v>929</v>
      </c>
      <c r="C159" s="45" t="s">
        <v>86</v>
      </c>
      <c r="D159" s="45" t="s">
        <v>84</v>
      </c>
      <c r="E159" s="45" t="str">
        <f>VLOOKUP(C159,Average!B$2:D$56,3,FALSE)</f>
        <v>Mostly infantile</v>
      </c>
      <c r="F159" s="45"/>
      <c r="G159" s="45"/>
      <c r="H159" s="45" t="s">
        <v>1111</v>
      </c>
      <c r="I159" s="45" t="s">
        <v>1111</v>
      </c>
      <c r="J159" s="44" t="s">
        <v>367</v>
      </c>
      <c r="K159" s="46" t="s">
        <v>301</v>
      </c>
    </row>
    <row r="160" spans="1:11" ht="15" customHeight="1">
      <c r="A160" s="45" t="s">
        <v>366</v>
      </c>
      <c r="B160" s="45" t="s">
        <v>929</v>
      </c>
      <c r="C160" s="45" t="s">
        <v>86</v>
      </c>
      <c r="D160" s="45" t="s">
        <v>84</v>
      </c>
      <c r="E160" s="45" t="str">
        <f>VLOOKUP(C160,Average!B$2:D$56,3,FALSE)</f>
        <v>Mostly infantile</v>
      </c>
      <c r="F160" s="45"/>
      <c r="G160" s="45"/>
      <c r="H160" s="45" t="s">
        <v>1111</v>
      </c>
      <c r="I160" s="45" t="s">
        <v>1111</v>
      </c>
      <c r="J160" s="44" t="s">
        <v>368</v>
      </c>
      <c r="K160" s="46" t="s">
        <v>369</v>
      </c>
    </row>
    <row r="161" spans="1:11" ht="15" customHeight="1">
      <c r="A161" s="45" t="s">
        <v>364</v>
      </c>
      <c r="B161" s="45" t="s">
        <v>929</v>
      </c>
      <c r="C161" s="45" t="s">
        <v>86</v>
      </c>
      <c r="D161" s="45" t="s">
        <v>84</v>
      </c>
      <c r="E161" s="45" t="str">
        <f>VLOOKUP(C161,Average!B$2:D$56,3,FALSE)</f>
        <v>Mostly infantile</v>
      </c>
      <c r="F161" s="45"/>
      <c r="G161" s="45"/>
      <c r="H161" s="45" t="s">
        <v>1111</v>
      </c>
      <c r="I161" s="45" t="s">
        <v>1111</v>
      </c>
      <c r="J161" s="44" t="s">
        <v>370</v>
      </c>
      <c r="K161" s="46" t="s">
        <v>316</v>
      </c>
    </row>
    <row r="162" spans="1:11" ht="15" customHeight="1">
      <c r="A162" s="45" t="s">
        <v>366</v>
      </c>
      <c r="B162" s="45" t="s">
        <v>929</v>
      </c>
      <c r="C162" s="45" t="s">
        <v>86</v>
      </c>
      <c r="D162" s="45" t="s">
        <v>84</v>
      </c>
      <c r="E162" s="45" t="str">
        <f>VLOOKUP(C162,Average!B$2:D$56,3,FALSE)</f>
        <v>Mostly infantile</v>
      </c>
      <c r="F162" s="45"/>
      <c r="G162" s="45"/>
      <c r="H162" s="45" t="s">
        <v>1111</v>
      </c>
      <c r="I162" s="45" t="s">
        <v>1111</v>
      </c>
      <c r="J162" s="44"/>
      <c r="K162" s="46" t="s">
        <v>371</v>
      </c>
    </row>
    <row r="163" spans="1:11" ht="15" customHeight="1">
      <c r="A163" s="45" t="s">
        <v>366</v>
      </c>
      <c r="B163" s="45" t="s">
        <v>929</v>
      </c>
      <c r="C163" s="45" t="s">
        <v>86</v>
      </c>
      <c r="D163" s="45" t="s">
        <v>84</v>
      </c>
      <c r="E163" s="45" t="str">
        <f>VLOOKUP(C163,Average!B$2:D$56,3,FALSE)</f>
        <v>Mostly infantile</v>
      </c>
      <c r="F163" s="45"/>
      <c r="G163" s="45"/>
      <c r="H163" s="45" t="s">
        <v>1111</v>
      </c>
      <c r="I163" s="45" t="s">
        <v>1111</v>
      </c>
      <c r="J163" s="44" t="s">
        <v>372</v>
      </c>
      <c r="K163" s="46" t="s">
        <v>373</v>
      </c>
    </row>
    <row r="164" spans="1:11" ht="15" customHeight="1">
      <c r="A164" s="45" t="s">
        <v>366</v>
      </c>
      <c r="B164" s="45" t="s">
        <v>929</v>
      </c>
      <c r="C164" s="45" t="s">
        <v>86</v>
      </c>
      <c r="D164" s="45" t="s">
        <v>84</v>
      </c>
      <c r="E164" s="45" t="str">
        <f>VLOOKUP(C164,Average!B$2:D$56,3,FALSE)</f>
        <v>Mostly infantile</v>
      </c>
      <c r="F164" s="45"/>
      <c r="G164" s="45"/>
      <c r="H164" s="45" t="s">
        <v>1111</v>
      </c>
      <c r="I164" s="45" t="s">
        <v>1111</v>
      </c>
      <c r="J164" s="44" t="s">
        <v>374</v>
      </c>
      <c r="K164" s="46" t="s">
        <v>375</v>
      </c>
    </row>
    <row r="165" spans="1:11" ht="15" customHeight="1">
      <c r="A165" s="45" t="s">
        <v>366</v>
      </c>
      <c r="B165" s="45" t="s">
        <v>929</v>
      </c>
      <c r="C165" s="45" t="s">
        <v>86</v>
      </c>
      <c r="D165" s="45" t="s">
        <v>84</v>
      </c>
      <c r="E165" s="45" t="str">
        <f>VLOOKUP(C165,Average!B$2:D$56,3,FALSE)</f>
        <v>Mostly infantile</v>
      </c>
      <c r="F165" s="45"/>
      <c r="G165" s="45"/>
      <c r="H165" s="45" t="s">
        <v>1111</v>
      </c>
      <c r="I165" s="45" t="s">
        <v>1111</v>
      </c>
      <c r="J165" s="44">
        <v>8</v>
      </c>
      <c r="K165" s="46" t="s">
        <v>376</v>
      </c>
    </row>
    <row r="166" spans="1:11" ht="15" customHeight="1">
      <c r="A166" s="45" t="s">
        <v>366</v>
      </c>
      <c r="B166" s="45" t="s">
        <v>929</v>
      </c>
      <c r="C166" s="45" t="s">
        <v>86</v>
      </c>
      <c r="D166" s="45" t="s">
        <v>84</v>
      </c>
      <c r="E166" s="45" t="str">
        <f>VLOOKUP(C166,Average!B$2:D$56,3,FALSE)</f>
        <v>Mostly infantile</v>
      </c>
      <c r="F166" s="45"/>
      <c r="G166" s="45"/>
      <c r="H166" s="45" t="s">
        <v>1111</v>
      </c>
      <c r="I166" s="45" t="s">
        <v>1111</v>
      </c>
      <c r="J166" s="44">
        <v>2</v>
      </c>
      <c r="K166" s="46" t="s">
        <v>377</v>
      </c>
    </row>
    <row r="167" spans="1:11" ht="15" customHeight="1">
      <c r="A167" s="45" t="s">
        <v>366</v>
      </c>
      <c r="B167" s="45" t="s">
        <v>929</v>
      </c>
      <c r="C167" s="45" t="s">
        <v>86</v>
      </c>
      <c r="D167" s="45" t="s">
        <v>84</v>
      </c>
      <c r="E167" s="45" t="str">
        <f>VLOOKUP(C167,Average!B$2:D$56,3,FALSE)</f>
        <v>Mostly infantile</v>
      </c>
      <c r="F167" s="45"/>
      <c r="G167" s="45"/>
      <c r="H167" s="45" t="s">
        <v>1111</v>
      </c>
      <c r="I167" s="45" t="s">
        <v>1111</v>
      </c>
      <c r="J167" s="44" t="s">
        <v>378</v>
      </c>
      <c r="K167" s="46" t="s">
        <v>361</v>
      </c>
    </row>
    <row r="168" spans="1:11" ht="15" customHeight="1">
      <c r="A168" s="45" t="s">
        <v>366</v>
      </c>
      <c r="B168" s="45" t="s">
        <v>929</v>
      </c>
      <c r="C168" s="45" t="s">
        <v>86</v>
      </c>
      <c r="D168" s="45" t="s">
        <v>84</v>
      </c>
      <c r="E168" s="45" t="str">
        <f>VLOOKUP(C168,Average!B$2:D$56,3,FALSE)</f>
        <v>Mostly infantile</v>
      </c>
      <c r="F168" s="45"/>
      <c r="G168" s="45"/>
      <c r="H168" s="45" t="s">
        <v>1111</v>
      </c>
      <c r="I168" s="45" t="s">
        <v>1111</v>
      </c>
      <c r="J168" s="44" t="s">
        <v>379</v>
      </c>
      <c r="K168" s="46" t="s">
        <v>380</v>
      </c>
    </row>
    <row r="169" spans="1:11" ht="15" customHeight="1">
      <c r="A169" s="45" t="s">
        <v>366</v>
      </c>
      <c r="B169" s="45" t="s">
        <v>929</v>
      </c>
      <c r="C169" s="45" t="s">
        <v>86</v>
      </c>
      <c r="D169" s="45" t="s">
        <v>84</v>
      </c>
      <c r="E169" s="45" t="str">
        <f>VLOOKUP(C169,Average!B$2:D$56,3,FALSE)</f>
        <v>Mostly infantile</v>
      </c>
      <c r="F169" s="45"/>
      <c r="G169" s="45"/>
      <c r="H169" s="45" t="s">
        <v>1111</v>
      </c>
      <c r="I169" s="45" t="s">
        <v>1111</v>
      </c>
      <c r="J169" s="44"/>
      <c r="K169" s="46" t="s">
        <v>381</v>
      </c>
    </row>
    <row r="170" spans="1:11" ht="15" customHeight="1">
      <c r="A170" s="45" t="s">
        <v>382</v>
      </c>
      <c r="B170" s="45" t="s">
        <v>929</v>
      </c>
      <c r="C170" s="45" t="s">
        <v>86</v>
      </c>
      <c r="D170" s="45" t="s">
        <v>84</v>
      </c>
      <c r="E170" s="45" t="str">
        <f>VLOOKUP(C170,Average!B$2:D$56,3,FALSE)</f>
        <v>Mostly infantile</v>
      </c>
      <c r="F170" s="45"/>
      <c r="G170" s="45"/>
      <c r="H170" s="45" t="s">
        <v>1111</v>
      </c>
      <c r="I170" s="45" t="s">
        <v>1111</v>
      </c>
      <c r="J170" s="44" t="s">
        <v>383</v>
      </c>
      <c r="K170" s="46" t="s">
        <v>384</v>
      </c>
    </row>
    <row r="171" spans="1:11" ht="15" customHeight="1">
      <c r="A171" s="45" t="s">
        <v>366</v>
      </c>
      <c r="B171" s="45" t="s">
        <v>929</v>
      </c>
      <c r="C171" s="45" t="s">
        <v>86</v>
      </c>
      <c r="D171" s="45" t="s">
        <v>84</v>
      </c>
      <c r="E171" s="45" t="str">
        <f>VLOOKUP(C171,Average!B$2:D$56,3,FALSE)</f>
        <v>Mostly infantile</v>
      </c>
      <c r="F171" s="45"/>
      <c r="G171" s="45"/>
      <c r="H171" s="45" t="s">
        <v>1111</v>
      </c>
      <c r="I171" s="45" t="s">
        <v>1111</v>
      </c>
      <c r="J171" s="44"/>
      <c r="K171" s="46" t="s">
        <v>385</v>
      </c>
    </row>
    <row r="172" spans="1:11" ht="15" customHeight="1">
      <c r="A172" s="45" t="s">
        <v>366</v>
      </c>
      <c r="B172" s="45" t="s">
        <v>929</v>
      </c>
      <c r="C172" s="45" t="s">
        <v>86</v>
      </c>
      <c r="D172" s="45" t="s">
        <v>84</v>
      </c>
      <c r="E172" s="45" t="str">
        <f>VLOOKUP(C172,Average!B$2:D$56,3,FALSE)</f>
        <v>Mostly infantile</v>
      </c>
      <c r="F172" s="45"/>
      <c r="G172" s="45"/>
      <c r="H172" s="45" t="s">
        <v>1111</v>
      </c>
      <c r="I172" s="45" t="s">
        <v>1111</v>
      </c>
      <c r="J172" s="44"/>
      <c r="K172" s="46" t="s">
        <v>386</v>
      </c>
    </row>
    <row r="173" spans="1:11" ht="15" customHeight="1">
      <c r="A173" s="45" t="s">
        <v>861</v>
      </c>
      <c r="B173" s="45" t="s">
        <v>1020</v>
      </c>
      <c r="C173" s="45" t="s">
        <v>862</v>
      </c>
      <c r="D173" s="45"/>
      <c r="E173" s="45" t="e">
        <f>VLOOKUP(C173,Average!B$2:D$56,3,FALSE)</f>
        <v>#N/A</v>
      </c>
      <c r="F173" s="45"/>
      <c r="G173" s="45"/>
      <c r="H173" s="45"/>
      <c r="I173" s="45"/>
      <c r="J173" s="44" t="s">
        <v>641</v>
      </c>
      <c r="K173" s="46" t="s">
        <v>259</v>
      </c>
    </row>
    <row r="174" spans="1:11" ht="15" customHeight="1">
      <c r="A174" s="45" t="s">
        <v>577</v>
      </c>
      <c r="B174" s="45" t="s">
        <v>997</v>
      </c>
      <c r="C174" s="45" t="s">
        <v>578</v>
      </c>
      <c r="D174" s="45"/>
      <c r="E174" s="45" t="e">
        <f>VLOOKUP(C174,Average!B$2:D$56,3,FALSE)</f>
        <v>#N/A</v>
      </c>
      <c r="F174" s="45"/>
      <c r="G174" s="45"/>
      <c r="H174" s="45"/>
      <c r="I174" s="45"/>
      <c r="J174" s="43" t="s">
        <v>281</v>
      </c>
      <c r="K174" s="46" t="s">
        <v>579</v>
      </c>
    </row>
    <row r="175" spans="1:11" ht="15" customHeight="1">
      <c r="A175" s="45" t="s">
        <v>577</v>
      </c>
      <c r="B175" s="45" t="s">
        <v>997</v>
      </c>
      <c r="C175" s="45" t="s">
        <v>578</v>
      </c>
      <c r="D175" s="45"/>
      <c r="E175" s="45" t="e">
        <f>VLOOKUP(C175,Average!B$2:D$56,3,FALSE)</f>
        <v>#N/A</v>
      </c>
      <c r="F175" s="45"/>
      <c r="G175" s="45"/>
      <c r="H175" s="45"/>
      <c r="I175" s="45"/>
      <c r="J175" s="43"/>
      <c r="K175" s="46" t="s">
        <v>580</v>
      </c>
    </row>
    <row r="176" spans="1:11" ht="15" customHeight="1">
      <c r="A176" s="45" t="s">
        <v>581</v>
      </c>
      <c r="B176" s="45" t="s">
        <v>998</v>
      </c>
      <c r="C176" s="45" t="s">
        <v>582</v>
      </c>
      <c r="D176" s="45"/>
      <c r="E176" s="45" t="e">
        <f>VLOOKUP(C176,Average!B$2:D$56,3,FALSE)</f>
        <v>#N/A</v>
      </c>
      <c r="F176" s="45"/>
      <c r="G176" s="45"/>
      <c r="H176" s="45"/>
      <c r="I176" s="45"/>
      <c r="J176" s="44">
        <v>9</v>
      </c>
      <c r="K176" s="46" t="s">
        <v>376</v>
      </c>
    </row>
    <row r="177" spans="1:11" ht="15" customHeight="1">
      <c r="A177" s="45" t="s">
        <v>581</v>
      </c>
      <c r="B177" s="45" t="s">
        <v>998</v>
      </c>
      <c r="C177" s="45" t="s">
        <v>582</v>
      </c>
      <c r="D177" s="45"/>
      <c r="E177" s="45" t="e">
        <f>VLOOKUP(C177,Average!B$2:D$56,3,FALSE)</f>
        <v>#N/A</v>
      </c>
      <c r="F177" s="45"/>
      <c r="G177" s="45"/>
      <c r="H177" s="45"/>
      <c r="I177" s="45"/>
      <c r="J177" s="44">
        <v>1</v>
      </c>
      <c r="K177" s="46" t="s">
        <v>463</v>
      </c>
    </row>
    <row r="178" spans="1:11" ht="15" customHeight="1">
      <c r="A178" s="45" t="s">
        <v>656</v>
      </c>
      <c r="B178" s="45" t="s">
        <v>1026</v>
      </c>
      <c r="C178" s="45" t="s">
        <v>657</v>
      </c>
      <c r="D178" s="45"/>
      <c r="E178" s="45" t="e">
        <f>VLOOKUP(C178,Average!B$2:D$56,3,FALSE)</f>
        <v>#N/A</v>
      </c>
      <c r="F178" s="45"/>
      <c r="G178" s="45"/>
      <c r="H178" s="45"/>
      <c r="I178" s="45"/>
      <c r="J178" s="44"/>
      <c r="K178" s="46" t="s">
        <v>658</v>
      </c>
    </row>
    <row r="179" spans="1:11" ht="15" customHeight="1">
      <c r="A179" s="45" t="s">
        <v>692</v>
      </c>
      <c r="B179" s="45" t="s">
        <v>1039</v>
      </c>
      <c r="C179" s="45" t="s">
        <v>693</v>
      </c>
      <c r="D179" s="45"/>
      <c r="E179" s="45" t="e">
        <f>VLOOKUP(C179,Average!B$2:D$56,3,FALSE)</f>
        <v>#N/A</v>
      </c>
      <c r="F179" s="45"/>
      <c r="G179" s="45"/>
      <c r="H179" s="45"/>
      <c r="I179" s="45"/>
      <c r="J179" s="43" t="s">
        <v>281</v>
      </c>
      <c r="K179" s="46" t="s">
        <v>694</v>
      </c>
    </row>
    <row r="180" spans="1:11" ht="15" customHeight="1">
      <c r="A180" s="45" t="s">
        <v>695</v>
      </c>
      <c r="B180" s="45" t="s">
        <v>1039</v>
      </c>
      <c r="C180" s="45" t="s">
        <v>693</v>
      </c>
      <c r="D180" s="45"/>
      <c r="E180" s="45" t="e">
        <f>VLOOKUP(C180,Average!B$2:D$56,3,FALSE)</f>
        <v>#N/A</v>
      </c>
      <c r="F180" s="45"/>
      <c r="G180" s="45"/>
      <c r="H180" s="45"/>
      <c r="I180" s="45"/>
      <c r="J180" s="44">
        <v>10</v>
      </c>
      <c r="K180" s="46" t="s">
        <v>269</v>
      </c>
    </row>
    <row r="181" spans="1:11" ht="15" customHeight="1">
      <c r="A181" s="45" t="s">
        <v>442</v>
      </c>
      <c r="B181" s="45" t="s">
        <v>948</v>
      </c>
      <c r="C181" s="45" t="s">
        <v>443</v>
      </c>
      <c r="D181" s="45"/>
      <c r="E181" s="45" t="e">
        <f>VLOOKUP(C181,Average!B$2:D$56,3,FALSE)</f>
        <v>#N/A</v>
      </c>
      <c r="F181" s="45"/>
      <c r="G181" s="45"/>
      <c r="H181" s="45"/>
      <c r="I181" s="45"/>
      <c r="J181" s="44">
        <v>14</v>
      </c>
      <c r="K181" s="46" t="s">
        <v>444</v>
      </c>
    </row>
    <row r="182" spans="1:11" ht="15" customHeight="1">
      <c r="A182" s="45" t="s">
        <v>469</v>
      </c>
      <c r="B182" s="45" t="s">
        <v>960</v>
      </c>
      <c r="C182" s="45" t="s">
        <v>470</v>
      </c>
      <c r="D182" s="45"/>
      <c r="E182" s="45" t="e">
        <f>VLOOKUP(C182,Average!B$2:D$56,3,FALSE)</f>
        <v>#N/A</v>
      </c>
      <c r="F182" s="45"/>
      <c r="G182" s="45"/>
      <c r="H182" s="45"/>
      <c r="I182" s="45"/>
      <c r="J182" s="44">
        <v>10</v>
      </c>
      <c r="K182" s="45" t="s">
        <v>471</v>
      </c>
    </row>
    <row r="183" spans="1:11" ht="15" customHeight="1">
      <c r="A183" s="45" t="s">
        <v>469</v>
      </c>
      <c r="B183" s="45" t="s">
        <v>960</v>
      </c>
      <c r="C183" s="45" t="s">
        <v>470</v>
      </c>
      <c r="D183" s="45"/>
      <c r="E183" s="45" t="e">
        <f>VLOOKUP(C183,Average!B$2:D$56,3,FALSE)</f>
        <v>#N/A</v>
      </c>
      <c r="F183" s="45"/>
      <c r="G183" s="45"/>
      <c r="H183" s="45"/>
      <c r="I183" s="45"/>
      <c r="J183" s="43"/>
      <c r="K183" s="46" t="s">
        <v>472</v>
      </c>
    </row>
    <row r="184" spans="1:11" ht="15" customHeight="1">
      <c r="A184" s="45" t="s">
        <v>469</v>
      </c>
      <c r="B184" s="45" t="s">
        <v>960</v>
      </c>
      <c r="C184" s="45" t="s">
        <v>470</v>
      </c>
      <c r="D184" s="45"/>
      <c r="E184" s="45" t="e">
        <f>VLOOKUP(C184,Average!B$2:D$56,3,FALSE)</f>
        <v>#N/A</v>
      </c>
      <c r="F184" s="45"/>
      <c r="G184" s="45"/>
      <c r="H184" s="45"/>
      <c r="I184" s="45"/>
      <c r="J184" s="44"/>
      <c r="K184" s="46" t="s">
        <v>473</v>
      </c>
    </row>
    <row r="185" spans="1:11" ht="15" customHeight="1">
      <c r="A185" s="45" t="s">
        <v>469</v>
      </c>
      <c r="B185" s="45" t="s">
        <v>960</v>
      </c>
      <c r="C185" s="45" t="s">
        <v>470</v>
      </c>
      <c r="D185" s="45"/>
      <c r="E185" s="45" t="e">
        <f>VLOOKUP(C185,Average!B$2:D$56,3,FALSE)</f>
        <v>#N/A</v>
      </c>
      <c r="F185" s="45"/>
      <c r="G185" s="45"/>
      <c r="H185" s="45"/>
      <c r="I185" s="45"/>
      <c r="J185" s="44"/>
      <c r="K185" s="46" t="s">
        <v>474</v>
      </c>
    </row>
    <row r="186" spans="1:11" ht="15" customHeight="1">
      <c r="A186" s="45" t="s">
        <v>602</v>
      </c>
      <c r="B186" s="45" t="s">
        <v>1005</v>
      </c>
      <c r="C186" s="45" t="s">
        <v>603</v>
      </c>
      <c r="D186" s="45"/>
      <c r="E186" s="45" t="e">
        <f>VLOOKUP(C186,Average!B$2:D$56,3,FALSE)</f>
        <v>#N/A</v>
      </c>
      <c r="F186" s="45"/>
      <c r="G186" s="45"/>
      <c r="H186" s="45"/>
      <c r="I186" s="45"/>
      <c r="J186" s="44">
        <v>1</v>
      </c>
      <c r="K186" s="46" t="s">
        <v>591</v>
      </c>
    </row>
    <row r="187" spans="1:11" ht="15" customHeight="1">
      <c r="A187" s="45" t="s">
        <v>642</v>
      </c>
      <c r="B187" s="45" t="s">
        <v>1021</v>
      </c>
      <c r="C187" s="45" t="s">
        <v>643</v>
      </c>
      <c r="D187" s="45"/>
      <c r="E187" s="45" t="e">
        <f>VLOOKUP(C187,Average!B$2:D$56,3,FALSE)</f>
        <v>#N/A</v>
      </c>
      <c r="F187" s="45"/>
      <c r="G187" s="45"/>
      <c r="H187" s="45"/>
      <c r="I187" s="45"/>
      <c r="J187" s="44"/>
      <c r="K187" s="46" t="s">
        <v>644</v>
      </c>
    </row>
    <row r="188" spans="1:11" ht="15" customHeight="1">
      <c r="A188" s="45" t="s">
        <v>669</v>
      </c>
      <c r="B188" s="45" t="s">
        <v>1030</v>
      </c>
      <c r="C188" s="45" t="s">
        <v>670</v>
      </c>
      <c r="D188" s="45"/>
      <c r="E188" s="45" t="e">
        <f>VLOOKUP(C188,Average!B$2:D$56,3,FALSE)</f>
        <v>#N/A</v>
      </c>
      <c r="F188" s="45"/>
      <c r="G188" s="45"/>
      <c r="H188" s="45"/>
      <c r="I188" s="45"/>
      <c r="J188" s="44"/>
      <c r="K188" s="46" t="s">
        <v>671</v>
      </c>
    </row>
    <row r="189" spans="1:11" ht="15" customHeight="1">
      <c r="A189" s="45" t="s">
        <v>669</v>
      </c>
      <c r="B189" s="45" t="s">
        <v>1030</v>
      </c>
      <c r="C189" s="45" t="s">
        <v>670</v>
      </c>
      <c r="D189" s="45"/>
      <c r="E189" s="45" t="e">
        <f>VLOOKUP(C189,Average!B$2:D$56,3,FALSE)</f>
        <v>#N/A</v>
      </c>
      <c r="F189" s="45"/>
      <c r="G189" s="45"/>
      <c r="H189" s="45"/>
      <c r="I189" s="45"/>
      <c r="J189" s="44">
        <v>3</v>
      </c>
      <c r="K189" s="46" t="s">
        <v>286</v>
      </c>
    </row>
    <row r="190" spans="1:11" ht="15" customHeight="1">
      <c r="A190" s="45" t="s">
        <v>672</v>
      </c>
      <c r="B190" s="45" t="s">
        <v>1031</v>
      </c>
      <c r="C190" s="45" t="s">
        <v>673</v>
      </c>
      <c r="D190" s="45"/>
      <c r="E190" s="45" t="e">
        <f>VLOOKUP(C190,Average!B$2:D$56,3,FALSE)</f>
        <v>#N/A</v>
      </c>
      <c r="F190" s="45"/>
      <c r="G190" s="45"/>
      <c r="H190" s="45"/>
      <c r="I190" s="45"/>
      <c r="J190" s="45"/>
      <c r="K190" s="46" t="s">
        <v>674</v>
      </c>
    </row>
    <row r="191" spans="1:11" ht="15" customHeight="1">
      <c r="A191" s="45" t="s">
        <v>769</v>
      </c>
      <c r="B191" s="45" t="s">
        <v>1066</v>
      </c>
      <c r="C191" s="45" t="s">
        <v>770</v>
      </c>
      <c r="D191" s="45"/>
      <c r="E191" s="45" t="e">
        <f>VLOOKUP(C191,Average!B$2:D$56,3,FALSE)</f>
        <v>#N/A</v>
      </c>
      <c r="F191" s="45"/>
      <c r="G191" s="45"/>
      <c r="H191" s="45"/>
      <c r="I191" s="45"/>
      <c r="J191" s="44" t="s">
        <v>771</v>
      </c>
      <c r="K191" s="46" t="s">
        <v>772</v>
      </c>
    </row>
    <row r="192" spans="1:11" ht="15" customHeight="1">
      <c r="A192" s="45" t="s">
        <v>805</v>
      </c>
      <c r="B192" s="45" t="s">
        <v>1074</v>
      </c>
      <c r="C192" s="45" t="s">
        <v>806</v>
      </c>
      <c r="D192" s="45"/>
      <c r="E192" s="45" t="e">
        <f>VLOOKUP(C192,Average!B$2:D$56,3,FALSE)</f>
        <v>#N/A</v>
      </c>
      <c r="F192" s="45"/>
      <c r="G192" s="45"/>
      <c r="H192" s="45"/>
      <c r="I192" s="45"/>
      <c r="J192" s="44" t="s">
        <v>807</v>
      </c>
      <c r="K192" s="46" t="s">
        <v>808</v>
      </c>
    </row>
    <row r="193" spans="1:11" ht="15" customHeight="1">
      <c r="A193" s="45" t="s">
        <v>867</v>
      </c>
      <c r="B193" s="45" t="s">
        <v>1073</v>
      </c>
      <c r="C193" s="45" t="s">
        <v>868</v>
      </c>
      <c r="D193" s="45"/>
      <c r="E193" s="45" t="e">
        <f>VLOOKUP(C193,Average!B$2:D$56,3,FALSE)</f>
        <v>#N/A</v>
      </c>
      <c r="F193" s="45"/>
      <c r="G193" s="45"/>
      <c r="H193" s="45"/>
      <c r="I193" s="45"/>
      <c r="J193" s="44" t="s">
        <v>801</v>
      </c>
      <c r="K193" s="46" t="s">
        <v>802</v>
      </c>
    </row>
    <row r="194" spans="1:11" ht="15" customHeight="1">
      <c r="A194" s="45" t="s">
        <v>867</v>
      </c>
      <c r="B194" s="45" t="s">
        <v>1073</v>
      </c>
      <c r="C194" s="45" t="s">
        <v>868</v>
      </c>
      <c r="D194" s="45"/>
      <c r="E194" s="45" t="e">
        <f>VLOOKUP(C194,Average!B$2:D$56,3,FALSE)</f>
        <v>#N/A</v>
      </c>
      <c r="F194" s="45"/>
      <c r="G194" s="45"/>
      <c r="H194" s="45"/>
      <c r="I194" s="45"/>
      <c r="J194" s="44" t="s">
        <v>801</v>
      </c>
      <c r="K194" s="46" t="s">
        <v>803</v>
      </c>
    </row>
    <row r="195" spans="1:11" ht="15" customHeight="1">
      <c r="A195" s="45" t="s">
        <v>867</v>
      </c>
      <c r="B195" s="45" t="s">
        <v>1073</v>
      </c>
      <c r="C195" s="45" t="s">
        <v>868</v>
      </c>
      <c r="D195" s="45"/>
      <c r="E195" s="45" t="e">
        <f>VLOOKUP(C195,Average!B$2:D$56,3,FALSE)</f>
        <v>#N/A</v>
      </c>
      <c r="F195" s="45"/>
      <c r="G195" s="45"/>
      <c r="H195" s="45"/>
      <c r="I195" s="45"/>
      <c r="J195" s="44" t="s">
        <v>801</v>
      </c>
      <c r="K195" s="46" t="s">
        <v>804</v>
      </c>
    </row>
    <row r="196" spans="1:11" ht="15" customHeight="1">
      <c r="A196" s="45" t="s">
        <v>341</v>
      </c>
      <c r="B196" s="45" t="s">
        <v>925</v>
      </c>
      <c r="C196" s="45" t="s">
        <v>342</v>
      </c>
      <c r="D196" s="45"/>
      <c r="E196" s="45" t="e">
        <f>VLOOKUP(C196,Average!B$2:D$56,3,FALSE)</f>
        <v>#N/A</v>
      </c>
      <c r="F196" s="45"/>
      <c r="G196" s="45"/>
      <c r="H196" s="45"/>
      <c r="I196" s="45"/>
      <c r="J196" s="45"/>
      <c r="K196" s="46" t="s">
        <v>343</v>
      </c>
    </row>
    <row r="197" spans="1:11" ht="15" customHeight="1">
      <c r="A197" s="45" t="s">
        <v>341</v>
      </c>
      <c r="B197" s="45" t="s">
        <v>925</v>
      </c>
      <c r="C197" s="45" t="s">
        <v>342</v>
      </c>
      <c r="D197" s="45"/>
      <c r="E197" s="45" t="e">
        <f>VLOOKUP(C197,Average!B$2:D$56,3,FALSE)</f>
        <v>#N/A</v>
      </c>
      <c r="F197" s="45"/>
      <c r="G197" s="45"/>
      <c r="H197" s="45"/>
      <c r="I197" s="45"/>
      <c r="J197" s="44">
        <v>3</v>
      </c>
      <c r="K197" s="46" t="s">
        <v>288</v>
      </c>
    </row>
    <row r="198" spans="1:11" ht="15" customHeight="1">
      <c r="A198" s="45" t="s">
        <v>344</v>
      </c>
      <c r="B198" s="45" t="s">
        <v>926</v>
      </c>
      <c r="C198" s="45" t="s">
        <v>345</v>
      </c>
      <c r="D198" s="45"/>
      <c r="E198" s="45" t="e">
        <f>VLOOKUP(C198,Average!B$2:D$56,3,FALSE)</f>
        <v>#N/A</v>
      </c>
      <c r="F198" s="45"/>
      <c r="G198" s="45"/>
      <c r="H198" s="45"/>
      <c r="I198" s="45"/>
      <c r="J198" s="44">
        <v>1</v>
      </c>
      <c r="K198" s="46" t="s">
        <v>346</v>
      </c>
    </row>
    <row r="199" spans="1:11" ht="15" customHeight="1">
      <c r="A199" s="45" t="s">
        <v>844</v>
      </c>
      <c r="B199" s="45" t="s">
        <v>961</v>
      </c>
      <c r="C199" s="45" t="s">
        <v>845</v>
      </c>
      <c r="D199" s="45"/>
      <c r="E199" s="45" t="e">
        <f>VLOOKUP(C199,Average!B$2:D$56,3,FALSE)</f>
        <v>#N/A</v>
      </c>
      <c r="F199" s="45"/>
      <c r="G199" s="45"/>
      <c r="H199" s="45"/>
      <c r="I199" s="45"/>
      <c r="J199" s="44"/>
      <c r="K199" s="46" t="s">
        <v>475</v>
      </c>
    </row>
    <row r="200" spans="1:11" ht="15" customHeight="1">
      <c r="A200" s="45" t="s">
        <v>484</v>
      </c>
      <c r="B200" s="45" t="s">
        <v>966</v>
      </c>
      <c r="C200" s="45" t="s">
        <v>485</v>
      </c>
      <c r="D200" s="45"/>
      <c r="E200" s="45" t="e">
        <f>VLOOKUP(C200,Average!B$2:D$56,3,FALSE)</f>
        <v>#N/A</v>
      </c>
      <c r="F200" s="45"/>
      <c r="G200" s="45"/>
      <c r="H200" s="45"/>
      <c r="I200" s="45"/>
      <c r="J200" s="44" t="s">
        <v>486</v>
      </c>
      <c r="K200" s="45" t="s">
        <v>471</v>
      </c>
    </row>
    <row r="201" spans="1:11" ht="15" customHeight="1">
      <c r="A201" s="45" t="s">
        <v>487</v>
      </c>
      <c r="B201" s="45" t="s">
        <v>967</v>
      </c>
      <c r="C201" s="45" t="s">
        <v>488</v>
      </c>
      <c r="D201" s="45"/>
      <c r="E201" s="45" t="e">
        <f>VLOOKUP(C201,Average!B$2:D$56,3,FALSE)</f>
        <v>#N/A</v>
      </c>
      <c r="F201" s="45"/>
      <c r="G201" s="45"/>
      <c r="H201" s="45"/>
      <c r="I201" s="45"/>
      <c r="J201" s="43"/>
      <c r="K201" s="46" t="s">
        <v>489</v>
      </c>
    </row>
    <row r="202" spans="1:11" ht="15" customHeight="1">
      <c r="A202" s="45" t="s">
        <v>490</v>
      </c>
      <c r="B202" s="45" t="s">
        <v>968</v>
      </c>
      <c r="C202" s="45" t="s">
        <v>491</v>
      </c>
      <c r="D202" s="45"/>
      <c r="E202" s="45" t="e">
        <f>VLOOKUP(C202,Average!B$2:D$56,3,FALSE)</f>
        <v>#N/A</v>
      </c>
      <c r="F202" s="45"/>
      <c r="G202" s="45"/>
      <c r="H202" s="45"/>
      <c r="I202" s="45"/>
      <c r="J202" s="44">
        <v>11</v>
      </c>
      <c r="K202" s="46" t="s">
        <v>269</v>
      </c>
    </row>
    <row r="203" spans="1:11" ht="15" customHeight="1">
      <c r="A203" s="45" t="s">
        <v>850</v>
      </c>
      <c r="B203" s="45" t="s">
        <v>969</v>
      </c>
      <c r="C203" s="45" t="s">
        <v>851</v>
      </c>
      <c r="D203" s="45"/>
      <c r="E203" s="45" t="e">
        <f>VLOOKUP(C203,Average!B$2:D$56,3,FALSE)</f>
        <v>#N/A</v>
      </c>
      <c r="F203" s="45"/>
      <c r="G203" s="45"/>
      <c r="H203" s="45"/>
      <c r="I203" s="45"/>
      <c r="J203" s="44"/>
      <c r="K203" s="46" t="s">
        <v>492</v>
      </c>
    </row>
    <row r="204" spans="1:11" ht="15" customHeight="1">
      <c r="A204" s="45" t="s">
        <v>496</v>
      </c>
      <c r="B204" s="45" t="s">
        <v>972</v>
      </c>
      <c r="C204" s="45" t="s">
        <v>497</v>
      </c>
      <c r="D204" s="45"/>
      <c r="E204" s="45" t="e">
        <f>VLOOKUP(C204,Average!B$2:D$56,3,FALSE)</f>
        <v>#N/A</v>
      </c>
      <c r="F204" s="45"/>
      <c r="G204" s="45"/>
      <c r="H204" s="45"/>
      <c r="I204" s="45"/>
      <c r="J204" s="44"/>
      <c r="K204" s="46" t="s">
        <v>498</v>
      </c>
    </row>
    <row r="205" spans="1:11" ht="15" customHeight="1">
      <c r="A205" s="45" t="s">
        <v>854</v>
      </c>
      <c r="B205" s="45" t="s">
        <v>985</v>
      </c>
      <c r="C205" s="45" t="s">
        <v>855</v>
      </c>
      <c r="D205" s="45"/>
      <c r="E205" s="45" t="e">
        <f>VLOOKUP(C205,Average!B$2:D$56,3,FALSE)</f>
        <v>#N/A</v>
      </c>
      <c r="F205" s="45"/>
      <c r="G205" s="45"/>
      <c r="H205" s="45"/>
      <c r="I205" s="45"/>
      <c r="J205" s="44"/>
      <c r="K205" s="46" t="s">
        <v>543</v>
      </c>
    </row>
    <row r="206" spans="1:11" ht="15" customHeight="1">
      <c r="A206" s="45" t="s">
        <v>610</v>
      </c>
      <c r="B206" s="45" t="s">
        <v>1009</v>
      </c>
      <c r="C206" s="45" t="s">
        <v>611</v>
      </c>
      <c r="D206" s="45"/>
      <c r="E206" s="45" t="e">
        <f>VLOOKUP(C206,Average!B$2:D$56,3,FALSE)</f>
        <v>#N/A</v>
      </c>
      <c r="F206" s="45"/>
      <c r="G206" s="45"/>
      <c r="H206" s="45"/>
      <c r="I206" s="45"/>
      <c r="J206" s="44"/>
      <c r="K206" s="46" t="s">
        <v>612</v>
      </c>
    </row>
    <row r="207" spans="1:11" ht="15" customHeight="1">
      <c r="A207" s="45" t="s">
        <v>613</v>
      </c>
      <c r="B207" s="45" t="s">
        <v>1010</v>
      </c>
      <c r="C207" s="45" t="s">
        <v>614</v>
      </c>
      <c r="D207" s="45"/>
      <c r="E207" s="45" t="e">
        <f>VLOOKUP(C207,Average!B$2:D$56,3,FALSE)</f>
        <v>#N/A</v>
      </c>
      <c r="F207" s="45"/>
      <c r="G207" s="45"/>
      <c r="H207" s="45"/>
      <c r="I207" s="45"/>
      <c r="J207" s="44"/>
      <c r="K207" s="46" t="s">
        <v>615</v>
      </c>
    </row>
    <row r="208" spans="1:11" ht="15" customHeight="1">
      <c r="A208" s="45" t="s">
        <v>616</v>
      </c>
      <c r="B208" s="45" t="s">
        <v>1011</v>
      </c>
      <c r="C208" s="45" t="s">
        <v>617</v>
      </c>
      <c r="D208" s="45"/>
      <c r="E208" s="45" t="e">
        <f>VLOOKUP(C208,Average!B$2:D$56,3,FALSE)</f>
        <v>#N/A</v>
      </c>
      <c r="F208" s="45"/>
      <c r="G208" s="45"/>
      <c r="H208" s="45"/>
      <c r="I208" s="45"/>
      <c r="J208" s="44"/>
      <c r="K208" s="46" t="s">
        <v>618</v>
      </c>
    </row>
    <row r="209" spans="1:11" ht="15" customHeight="1">
      <c r="A209" s="45" t="s">
        <v>859</v>
      </c>
      <c r="B209" s="45" t="s">
        <v>1014</v>
      </c>
      <c r="C209" s="45" t="s">
        <v>860</v>
      </c>
      <c r="D209" s="45"/>
      <c r="E209" s="45" t="e">
        <f>VLOOKUP(C209,Average!B$2:D$56,3,FALSE)</f>
        <v>#N/A</v>
      </c>
      <c r="F209" s="45"/>
      <c r="G209" s="45"/>
      <c r="H209" s="45"/>
      <c r="I209" s="45"/>
      <c r="J209" s="43" t="s">
        <v>281</v>
      </c>
      <c r="K209" s="46" t="s">
        <v>625</v>
      </c>
    </row>
    <row r="210" spans="1:11" ht="15" customHeight="1">
      <c r="A210" s="45" t="s">
        <v>626</v>
      </c>
      <c r="B210" s="45" t="s">
        <v>1016</v>
      </c>
      <c r="C210" s="45" t="s">
        <v>629</v>
      </c>
      <c r="D210" s="45"/>
      <c r="E210" s="45" t="e">
        <f>VLOOKUP(C210,Average!B$2:D$56,3,FALSE)</f>
        <v>#N/A</v>
      </c>
      <c r="F210" s="45"/>
      <c r="G210" s="45"/>
      <c r="H210" s="45"/>
      <c r="I210" s="45"/>
      <c r="J210" s="44"/>
      <c r="K210" s="46" t="s">
        <v>630</v>
      </c>
    </row>
    <row r="211" spans="1:11" ht="15" customHeight="1">
      <c r="A211" s="45" t="s">
        <v>677</v>
      </c>
      <c r="B211" s="45" t="s">
        <v>1033</v>
      </c>
      <c r="C211" s="52" t="s">
        <v>678</v>
      </c>
      <c r="D211" s="45"/>
      <c r="E211" s="45" t="e">
        <f>VLOOKUP(C211,Average!B$2:D$56,3,FALSE)</f>
        <v>#N/A</v>
      </c>
      <c r="F211" s="45"/>
      <c r="G211" s="45"/>
      <c r="H211" s="45"/>
      <c r="I211" s="45"/>
      <c r="J211" s="44">
        <v>55</v>
      </c>
      <c r="K211" s="46" t="s">
        <v>376</v>
      </c>
    </row>
    <row r="212" spans="1:11" ht="15" customHeight="1">
      <c r="A212" s="45" t="s">
        <v>679</v>
      </c>
      <c r="B212" s="45" t="s">
        <v>1034</v>
      </c>
      <c r="C212" s="52" t="s">
        <v>680</v>
      </c>
      <c r="D212" s="45"/>
      <c r="E212" s="45" t="e">
        <f>VLOOKUP(C212,Average!B$2:D$56,3,FALSE)</f>
        <v>#N/A</v>
      </c>
      <c r="F212" s="45"/>
      <c r="G212" s="45"/>
      <c r="H212" s="45"/>
      <c r="I212" s="45"/>
      <c r="J212" s="44" t="s">
        <v>681</v>
      </c>
      <c r="K212" s="46" t="s">
        <v>682</v>
      </c>
    </row>
    <row r="213" spans="1:11" ht="15" customHeight="1">
      <c r="A213" s="45" t="s">
        <v>683</v>
      </c>
      <c r="B213" s="45" t="s">
        <v>1035</v>
      </c>
      <c r="C213" s="52" t="s">
        <v>684</v>
      </c>
      <c r="D213" s="45"/>
      <c r="E213" s="45" t="e">
        <f>VLOOKUP(C213,Average!B$2:D$56,3,FALSE)</f>
        <v>#N/A</v>
      </c>
      <c r="F213" s="45"/>
      <c r="G213" s="45"/>
      <c r="H213" s="45"/>
      <c r="I213" s="45"/>
      <c r="J213" s="44">
        <v>38</v>
      </c>
      <c r="K213" s="46" t="s">
        <v>363</v>
      </c>
    </row>
    <row r="214" spans="1:11" ht="15" customHeight="1">
      <c r="A214" s="45" t="s">
        <v>706</v>
      </c>
      <c r="B214" s="45" t="s">
        <v>1044</v>
      </c>
      <c r="C214" s="45" t="s">
        <v>707</v>
      </c>
      <c r="D214" s="45"/>
      <c r="E214" s="45" t="e">
        <f>VLOOKUP(C214,Average!B$2:D$56,3,FALSE)</f>
        <v>#N/A</v>
      </c>
      <c r="F214" s="45"/>
      <c r="G214" s="45"/>
      <c r="H214" s="45"/>
      <c r="I214" s="45"/>
      <c r="J214" s="45"/>
      <c r="K214" s="46" t="s">
        <v>265</v>
      </c>
    </row>
    <row r="215" spans="1:11" ht="15" customHeight="1">
      <c r="A215" s="45" t="s">
        <v>706</v>
      </c>
      <c r="B215" s="45" t="s">
        <v>1044</v>
      </c>
      <c r="C215" s="45" t="s">
        <v>707</v>
      </c>
      <c r="D215" s="45"/>
      <c r="E215" s="45" t="e">
        <f>VLOOKUP(C215,Average!B$2:D$56,3,FALSE)</f>
        <v>#N/A</v>
      </c>
      <c r="F215" s="45"/>
      <c r="G215" s="45"/>
      <c r="H215" s="45"/>
      <c r="I215" s="45"/>
      <c r="J215" s="44">
        <v>39</v>
      </c>
      <c r="K215" s="46" t="s">
        <v>363</v>
      </c>
    </row>
    <row r="216" spans="1:11" ht="15" customHeight="1">
      <c r="A216" s="45" t="s">
        <v>708</v>
      </c>
      <c r="B216" s="45" t="s">
        <v>1045</v>
      </c>
      <c r="C216" s="45" t="s">
        <v>709</v>
      </c>
      <c r="D216" s="45"/>
      <c r="E216" s="45" t="e">
        <f>VLOOKUP(C216,Average!B$2:D$56,3,FALSE)</f>
        <v>#N/A</v>
      </c>
      <c r="F216" s="45"/>
      <c r="G216" s="45"/>
      <c r="H216" s="45"/>
      <c r="I216" s="45"/>
      <c r="J216" s="45"/>
      <c r="K216" s="46" t="s">
        <v>265</v>
      </c>
    </row>
    <row r="217" spans="1:11" ht="15" customHeight="1">
      <c r="A217" s="45" t="s">
        <v>710</v>
      </c>
      <c r="B217" s="45" t="s">
        <v>1046</v>
      </c>
      <c r="C217" s="45" t="s">
        <v>711</v>
      </c>
      <c r="D217" s="45"/>
      <c r="E217" s="45" t="e">
        <f>VLOOKUP(C217,Average!B$2:D$56,3,FALSE)</f>
        <v>#N/A</v>
      </c>
      <c r="F217" s="45"/>
      <c r="G217" s="45"/>
      <c r="H217" s="45"/>
      <c r="I217" s="45"/>
      <c r="J217" s="47" t="s">
        <v>889</v>
      </c>
      <c r="K217" s="46" t="s">
        <v>278</v>
      </c>
    </row>
    <row r="218" spans="1:11" ht="15" customHeight="1">
      <c r="A218" s="45" t="s">
        <v>710</v>
      </c>
      <c r="B218" s="45" t="s">
        <v>1046</v>
      </c>
      <c r="C218" s="45" t="s">
        <v>711</v>
      </c>
      <c r="D218" s="45"/>
      <c r="E218" s="45" t="e">
        <f>VLOOKUP(C218,Average!B$2:D$56,3,FALSE)</f>
        <v>#N/A</v>
      </c>
      <c r="F218" s="45"/>
      <c r="G218" s="45"/>
      <c r="H218" s="45"/>
      <c r="I218" s="45"/>
      <c r="J218" s="44">
        <v>40</v>
      </c>
      <c r="K218" s="46" t="s">
        <v>363</v>
      </c>
    </row>
    <row r="219" spans="1:11" ht="15" customHeight="1">
      <c r="A219" s="45" t="s">
        <v>712</v>
      </c>
      <c r="B219" s="45" t="s">
        <v>1047</v>
      </c>
      <c r="C219" s="45" t="s">
        <v>713</v>
      </c>
      <c r="D219" s="45"/>
      <c r="E219" s="45" t="e">
        <f>VLOOKUP(C219,Average!B$2:D$56,3,FALSE)</f>
        <v>#N/A</v>
      </c>
      <c r="F219" s="45"/>
      <c r="G219" s="45"/>
      <c r="H219" s="45"/>
      <c r="I219" s="45"/>
      <c r="J219" s="44">
        <v>7</v>
      </c>
      <c r="K219" s="46" t="s">
        <v>319</v>
      </c>
    </row>
    <row r="220" spans="1:11" ht="15" customHeight="1">
      <c r="A220" s="45" t="s">
        <v>718</v>
      </c>
      <c r="B220" s="45" t="s">
        <v>1050</v>
      </c>
      <c r="C220" s="45" t="s">
        <v>719</v>
      </c>
      <c r="D220" s="45"/>
      <c r="E220" s="45" t="e">
        <f>VLOOKUP(C220,Average!B$2:D$56,3,FALSE)</f>
        <v>#N/A</v>
      </c>
      <c r="F220" s="45"/>
      <c r="G220" s="45"/>
      <c r="H220" s="45"/>
      <c r="I220" s="45"/>
      <c r="J220" s="44">
        <v>7</v>
      </c>
      <c r="K220" s="46" t="s">
        <v>288</v>
      </c>
    </row>
    <row r="221" spans="1:11" ht="15" customHeight="1">
      <c r="A221" s="45" t="s">
        <v>722</v>
      </c>
      <c r="B221" s="45" t="s">
        <v>1052</v>
      </c>
      <c r="C221" s="45" t="s">
        <v>723</v>
      </c>
      <c r="D221" s="45"/>
      <c r="E221" s="45" t="e">
        <f>VLOOKUP(C221,Average!B$2:D$56,3,FALSE)</f>
        <v>#N/A</v>
      </c>
      <c r="F221" s="45"/>
      <c r="G221" s="45"/>
      <c r="H221" s="45"/>
      <c r="I221" s="45"/>
      <c r="J221" s="44"/>
      <c r="K221" s="46" t="s">
        <v>319</v>
      </c>
    </row>
    <row r="222" spans="1:11" ht="15" customHeight="1">
      <c r="A222" s="45" t="s">
        <v>271</v>
      </c>
      <c r="B222" s="45" t="s">
        <v>905</v>
      </c>
      <c r="C222" s="45" t="s">
        <v>272</v>
      </c>
      <c r="D222" s="45"/>
      <c r="E222" s="45" t="e">
        <f>VLOOKUP(C222,Average!B$2:D$56,3,FALSE)</f>
        <v>#N/A</v>
      </c>
      <c r="F222" s="45"/>
      <c r="G222" s="45"/>
      <c r="H222" s="45"/>
      <c r="I222" s="45"/>
      <c r="J222" s="43"/>
      <c r="K222" s="46" t="s">
        <v>273</v>
      </c>
    </row>
    <row r="223" spans="1:11" ht="15" customHeight="1">
      <c r="A223" s="45" t="s">
        <v>271</v>
      </c>
      <c r="B223" s="45" t="s">
        <v>905</v>
      </c>
      <c r="C223" s="45" t="s">
        <v>272</v>
      </c>
      <c r="D223" s="45"/>
      <c r="E223" s="45" t="e">
        <f>VLOOKUP(C223,Average!B$2:D$56,3,FALSE)</f>
        <v>#N/A</v>
      </c>
      <c r="F223" s="45"/>
      <c r="G223" s="45"/>
      <c r="H223" s="45"/>
      <c r="I223" s="45"/>
      <c r="J223" s="43"/>
      <c r="K223" s="46" t="s">
        <v>274</v>
      </c>
    </row>
    <row r="224" spans="1:11" ht="15" customHeight="1">
      <c r="A224" s="45" t="s">
        <v>271</v>
      </c>
      <c r="B224" s="45" t="s">
        <v>905</v>
      </c>
      <c r="C224" s="45" t="s">
        <v>272</v>
      </c>
      <c r="D224" s="45"/>
      <c r="E224" s="45" t="e">
        <f>VLOOKUP(C224,Average!B$2:D$56,3,FALSE)</f>
        <v>#N/A</v>
      </c>
      <c r="F224" s="45"/>
      <c r="G224" s="45"/>
      <c r="H224" s="45"/>
      <c r="I224" s="45"/>
      <c r="J224" s="43"/>
      <c r="K224" s="46" t="s">
        <v>275</v>
      </c>
    </row>
    <row r="225" spans="1:11" ht="15" customHeight="1">
      <c r="A225" s="45" t="s">
        <v>289</v>
      </c>
      <c r="B225" s="45" t="s">
        <v>908</v>
      </c>
      <c r="C225" s="45" t="s">
        <v>290</v>
      </c>
      <c r="D225" s="45"/>
      <c r="E225" s="45" t="e">
        <f>VLOOKUP(C225,Average!B$2:D$56,3,FALSE)</f>
        <v>#N/A</v>
      </c>
      <c r="F225" s="45"/>
      <c r="G225" s="45"/>
      <c r="H225" s="45"/>
      <c r="I225" s="45"/>
      <c r="J225" s="45"/>
      <c r="K225" s="46" t="s">
        <v>265</v>
      </c>
    </row>
    <row r="226" spans="1:11" ht="15" customHeight="1">
      <c r="A226" s="45" t="s">
        <v>289</v>
      </c>
      <c r="B226" s="45" t="s">
        <v>908</v>
      </c>
      <c r="C226" s="45" t="s">
        <v>290</v>
      </c>
      <c r="D226" s="45"/>
      <c r="E226" s="45" t="e">
        <f>VLOOKUP(C226,Average!B$2:D$56,3,FALSE)</f>
        <v>#N/A</v>
      </c>
      <c r="F226" s="45"/>
      <c r="G226" s="45"/>
      <c r="H226" s="45"/>
      <c r="I226" s="45"/>
      <c r="J226" s="44"/>
      <c r="K226" s="46" t="s">
        <v>291</v>
      </c>
    </row>
    <row r="227" spans="1:11" ht="15" customHeight="1">
      <c r="A227" s="45" t="s">
        <v>876</v>
      </c>
      <c r="B227" s="45" t="s">
        <v>899</v>
      </c>
      <c r="C227" s="45" t="s">
        <v>877</v>
      </c>
      <c r="D227" s="45"/>
      <c r="E227" s="45" t="e">
        <f>VLOOKUP(C227,Average!B$2:D$56,3,FALSE)</f>
        <v>#N/A</v>
      </c>
      <c r="F227" s="45"/>
      <c r="G227" s="45"/>
      <c r="H227" s="45"/>
      <c r="I227" s="45"/>
      <c r="J227" s="44" t="s">
        <v>829</v>
      </c>
      <c r="K227" s="46" t="s">
        <v>830</v>
      </c>
    </row>
    <row r="228" spans="1:11" ht="15" customHeight="1">
      <c r="A228" s="45" t="s">
        <v>395</v>
      </c>
      <c r="B228" s="45" t="s">
        <v>934</v>
      </c>
      <c r="C228" s="45" t="s">
        <v>396</v>
      </c>
      <c r="D228" s="45"/>
      <c r="E228" s="45" t="e">
        <f>VLOOKUP(C228,Average!B$2:D$56,3,FALSE)</f>
        <v>#N/A</v>
      </c>
      <c r="F228" s="45"/>
      <c r="G228" s="45"/>
      <c r="H228" s="45"/>
      <c r="I228" s="45"/>
      <c r="J228" s="51"/>
      <c r="K228" s="46" t="s">
        <v>397</v>
      </c>
    </row>
    <row r="229" spans="1:11" ht="15" customHeight="1">
      <c r="A229" s="45" t="s">
        <v>395</v>
      </c>
      <c r="B229" s="45" t="s">
        <v>934</v>
      </c>
      <c r="C229" s="45" t="s">
        <v>396</v>
      </c>
      <c r="D229" s="45"/>
      <c r="E229" s="45" t="e">
        <f>VLOOKUP(C229,Average!B$2:D$56,3,FALSE)</f>
        <v>#N/A</v>
      </c>
      <c r="F229" s="45"/>
      <c r="G229" s="45"/>
      <c r="H229" s="45"/>
      <c r="I229" s="45"/>
      <c r="J229" s="43"/>
      <c r="K229" s="46" t="s">
        <v>398</v>
      </c>
    </row>
    <row r="230" spans="1:11" ht="15" customHeight="1">
      <c r="A230" s="45" t="s">
        <v>252</v>
      </c>
      <c r="B230" s="45" t="s">
        <v>900</v>
      </c>
      <c r="C230" s="45" t="s">
        <v>253</v>
      </c>
      <c r="D230" s="45"/>
      <c r="E230" s="45" t="e">
        <f>VLOOKUP(C230,Average!B$2:D$56,3,FALSE)</f>
        <v>#N/A</v>
      </c>
      <c r="F230" s="45"/>
      <c r="G230" s="45"/>
      <c r="H230" s="45"/>
      <c r="I230" s="45"/>
      <c r="J230" s="44"/>
      <c r="K230" s="46" t="s">
        <v>254</v>
      </c>
    </row>
    <row r="231" spans="1:11" ht="15" customHeight="1">
      <c r="A231" s="45" t="s">
        <v>608</v>
      </c>
      <c r="B231" s="45" t="s">
        <v>1008</v>
      </c>
      <c r="C231" s="45" t="s">
        <v>609</v>
      </c>
      <c r="D231" s="45"/>
      <c r="E231" s="45" t="e">
        <f>VLOOKUP(C231,Average!B$2:D$56,3,FALSE)</f>
        <v>#N/A</v>
      </c>
      <c r="F231" s="45"/>
      <c r="G231" s="45"/>
      <c r="H231" s="45"/>
      <c r="I231" s="45"/>
      <c r="J231" s="44">
        <v>10</v>
      </c>
      <c r="K231" s="46" t="s">
        <v>463</v>
      </c>
    </row>
    <row r="232" spans="1:11" ht="15" customHeight="1">
      <c r="A232" s="45" t="s">
        <v>631</v>
      </c>
      <c r="B232" s="45" t="s">
        <v>1017</v>
      </c>
      <c r="C232" s="45" t="s">
        <v>632</v>
      </c>
      <c r="D232" s="45"/>
      <c r="E232" s="45" t="e">
        <f>VLOOKUP(C232,Average!B$2:D$56,3,FALSE)</f>
        <v>#N/A</v>
      </c>
      <c r="F232" s="45"/>
      <c r="G232" s="45"/>
      <c r="H232" s="45"/>
      <c r="I232" s="45"/>
      <c r="J232" s="44" t="s">
        <v>454</v>
      </c>
      <c r="K232" s="45" t="s">
        <v>633</v>
      </c>
    </row>
    <row r="233" spans="1:11" ht="15" customHeight="1">
      <c r="A233" s="45" t="s">
        <v>809</v>
      </c>
      <c r="B233" s="45" t="s">
        <v>1075</v>
      </c>
      <c r="C233" s="45" t="s">
        <v>810</v>
      </c>
      <c r="D233" s="45"/>
      <c r="E233" s="45" t="e">
        <f>VLOOKUP(C233,Average!B$2:D$56,3,FALSE)</f>
        <v>#N/A</v>
      </c>
      <c r="F233" s="45"/>
      <c r="G233" s="45"/>
      <c r="H233" s="45"/>
      <c r="I233" s="45"/>
      <c r="J233" s="44">
        <v>21</v>
      </c>
      <c r="K233" s="46" t="s">
        <v>444</v>
      </c>
    </row>
    <row r="234" spans="1:11" ht="15" customHeight="1">
      <c r="A234" s="45" t="s">
        <v>481</v>
      </c>
      <c r="B234" s="45" t="s">
        <v>965</v>
      </c>
      <c r="C234" s="45" t="s">
        <v>482</v>
      </c>
      <c r="D234" s="45"/>
      <c r="E234" s="45" t="e">
        <f>VLOOKUP(C234,Average!B$2:D$56,3,FALSE)</f>
        <v>#N/A</v>
      </c>
      <c r="F234" s="45"/>
      <c r="G234" s="45"/>
      <c r="H234" s="45"/>
      <c r="I234" s="45"/>
      <c r="J234" s="44"/>
      <c r="K234" s="46" t="s">
        <v>483</v>
      </c>
    </row>
    <row r="235" spans="1:11" ht="15" customHeight="1">
      <c r="A235" s="45" t="s">
        <v>604</v>
      </c>
      <c r="B235" s="45" t="s">
        <v>1006</v>
      </c>
      <c r="C235" s="45" t="s">
        <v>605</v>
      </c>
      <c r="D235" s="45"/>
      <c r="E235" s="45" t="e">
        <f>VLOOKUP(C235,Average!B$2:D$56,3,FALSE)</f>
        <v>#N/A</v>
      </c>
      <c r="F235" s="45"/>
      <c r="G235" s="45"/>
      <c r="H235" s="45"/>
      <c r="I235" s="45"/>
      <c r="J235" s="49">
        <v>5</v>
      </c>
      <c r="K235" s="46" t="s">
        <v>288</v>
      </c>
    </row>
    <row r="236" spans="1:11" ht="15" customHeight="1">
      <c r="A236" s="45" t="s">
        <v>685</v>
      </c>
      <c r="B236" s="45" t="s">
        <v>1036</v>
      </c>
      <c r="C236" s="52" t="s">
        <v>686</v>
      </c>
      <c r="D236" s="45"/>
      <c r="E236" s="45" t="e">
        <f>VLOOKUP(C236,Average!B$2:D$56,3,FALSE)</f>
        <v>#N/A</v>
      </c>
      <c r="F236" s="45"/>
      <c r="G236" s="45"/>
      <c r="H236" s="45"/>
      <c r="I236" s="45"/>
      <c r="J236" s="44"/>
      <c r="K236" s="46" t="s">
        <v>687</v>
      </c>
    </row>
    <row r="237" spans="1:11" ht="15" customHeight="1">
      <c r="A237" s="45" t="s">
        <v>688</v>
      </c>
      <c r="B237" s="45" t="s">
        <v>1037</v>
      </c>
      <c r="C237" s="45" t="s">
        <v>689</v>
      </c>
      <c r="D237" s="45"/>
      <c r="E237" s="45" t="e">
        <f>VLOOKUP(C237,Average!B$2:D$56,3,FALSE)</f>
        <v>#N/A</v>
      </c>
      <c r="F237" s="45"/>
      <c r="G237" s="45"/>
      <c r="H237" s="45"/>
      <c r="I237" s="45"/>
      <c r="J237" s="44"/>
      <c r="K237" s="46" t="s">
        <v>690</v>
      </c>
    </row>
    <row r="238" spans="1:11" ht="15" customHeight="1">
      <c r="A238" s="45" t="s">
        <v>401</v>
      </c>
      <c r="B238" s="45" t="s">
        <v>936</v>
      </c>
      <c r="C238" s="45" t="s">
        <v>402</v>
      </c>
      <c r="D238" s="45"/>
      <c r="E238" s="45" t="e">
        <f>VLOOKUP(C238,Average!B$2:D$56,3,FALSE)</f>
        <v>#N/A</v>
      </c>
      <c r="F238" s="45"/>
      <c r="G238" s="45"/>
      <c r="H238" s="45"/>
      <c r="I238" s="45"/>
      <c r="J238" s="44">
        <v>20</v>
      </c>
      <c r="K238" s="46" t="s">
        <v>403</v>
      </c>
    </row>
    <row r="239" spans="1:11" ht="15" customHeight="1">
      <c r="A239" s="45" t="s">
        <v>848</v>
      </c>
      <c r="B239" s="45" t="s">
        <v>964</v>
      </c>
      <c r="C239" s="45" t="s">
        <v>849</v>
      </c>
      <c r="D239" s="45"/>
      <c r="E239" s="45" t="e">
        <f>VLOOKUP(C239,Average!B$2:D$56,3,FALSE)</f>
        <v>#N/A</v>
      </c>
      <c r="F239" s="45"/>
      <c r="G239" s="45"/>
      <c r="H239" s="45"/>
      <c r="I239" s="45"/>
      <c r="J239" s="44"/>
      <c r="K239" s="45" t="s">
        <v>480</v>
      </c>
    </row>
    <row r="240" spans="1:11" ht="15" customHeight="1">
      <c r="A240" s="45" t="s">
        <v>507</v>
      </c>
      <c r="B240" s="45" t="s">
        <v>977</v>
      </c>
      <c r="C240" s="45" t="s">
        <v>508</v>
      </c>
      <c r="D240" s="45"/>
      <c r="E240" s="45" t="e">
        <f>VLOOKUP(C240,Average!B$2:D$56,3,FALSE)</f>
        <v>#N/A</v>
      </c>
      <c r="F240" s="45"/>
      <c r="G240" s="45"/>
      <c r="H240" s="45"/>
      <c r="I240" s="45"/>
      <c r="J240" s="45"/>
      <c r="K240" s="46" t="s">
        <v>265</v>
      </c>
    </row>
    <row r="241" spans="1:11" ht="15" customHeight="1">
      <c r="A241" s="45" t="s">
        <v>571</v>
      </c>
      <c r="B241" s="45" t="s">
        <v>995</v>
      </c>
      <c r="C241" s="45" t="s">
        <v>572</v>
      </c>
      <c r="D241" s="45"/>
      <c r="E241" s="45" t="e">
        <f>VLOOKUP(C241,Average!B$2:D$56,3,FALSE)</f>
        <v>#N/A</v>
      </c>
      <c r="F241" s="45"/>
      <c r="G241" s="45"/>
      <c r="H241" s="45"/>
      <c r="I241" s="45"/>
      <c r="J241" s="44"/>
      <c r="K241" s="46" t="s">
        <v>573</v>
      </c>
    </row>
    <row r="242" spans="1:11" ht="15" customHeight="1">
      <c r="A242" s="45" t="s">
        <v>600</v>
      </c>
      <c r="B242" s="45" t="s">
        <v>1004</v>
      </c>
      <c r="C242" s="45" t="s">
        <v>601</v>
      </c>
      <c r="D242" s="45"/>
      <c r="E242" s="45" t="e">
        <f>VLOOKUP(C242,Average!B$2:D$56,3,FALSE)</f>
        <v>#N/A</v>
      </c>
      <c r="F242" s="45"/>
      <c r="G242" s="45"/>
      <c r="H242" s="45"/>
      <c r="I242" s="45"/>
      <c r="J242" s="44">
        <v>31</v>
      </c>
      <c r="K242" s="46" t="s">
        <v>259</v>
      </c>
    </row>
    <row r="243" spans="1:11" ht="15" customHeight="1">
      <c r="A243" s="45" t="s">
        <v>404</v>
      </c>
      <c r="B243" s="45" t="s">
        <v>937</v>
      </c>
      <c r="C243" s="45" t="s">
        <v>405</v>
      </c>
      <c r="D243" s="45"/>
      <c r="E243" s="45" t="e">
        <f>VLOOKUP(C243,Average!B$2:D$56,3,FALSE)</f>
        <v>#N/A</v>
      </c>
      <c r="F243" s="45"/>
      <c r="G243" s="45"/>
      <c r="H243" s="45"/>
      <c r="I243" s="45"/>
      <c r="J243" s="44">
        <v>3</v>
      </c>
      <c r="K243" s="46" t="s">
        <v>406</v>
      </c>
    </row>
    <row r="244" spans="1:11" ht="15" customHeight="1">
      <c r="A244" s="45" t="s">
        <v>404</v>
      </c>
      <c r="B244" s="45" t="s">
        <v>937</v>
      </c>
      <c r="C244" s="45" t="s">
        <v>405</v>
      </c>
      <c r="D244" s="45"/>
      <c r="E244" s="45" t="e">
        <f>VLOOKUP(C244,Average!B$2:D$56,3,FALSE)</f>
        <v>#N/A</v>
      </c>
      <c r="F244" s="45"/>
      <c r="G244" s="45"/>
      <c r="H244" s="45"/>
      <c r="I244" s="45"/>
      <c r="J244" s="44"/>
      <c r="K244" s="46" t="s">
        <v>318</v>
      </c>
    </row>
    <row r="245" spans="1:11" ht="15" customHeight="1">
      <c r="A245" s="45" t="s">
        <v>834</v>
      </c>
      <c r="B245" s="45" t="s">
        <v>938</v>
      </c>
      <c r="C245" s="45" t="s">
        <v>835</v>
      </c>
      <c r="D245" s="45"/>
      <c r="E245" s="45" t="e">
        <f>VLOOKUP(C245,Average!B$2:D$56,3,FALSE)</f>
        <v>#N/A</v>
      </c>
      <c r="F245" s="45"/>
      <c r="G245" s="45"/>
      <c r="H245" s="45"/>
      <c r="I245" s="45"/>
      <c r="J245" s="44">
        <v>2</v>
      </c>
      <c r="K245" s="46" t="s">
        <v>407</v>
      </c>
    </row>
    <row r="246" spans="1:11" ht="15" customHeight="1">
      <c r="A246" s="45" t="s">
        <v>445</v>
      </c>
      <c r="B246" s="45" t="s">
        <v>949</v>
      </c>
      <c r="C246" s="45" t="s">
        <v>446</v>
      </c>
      <c r="D246" s="45"/>
      <c r="E246" s="45" t="e">
        <f>VLOOKUP(C246,Average!B$2:D$56,3,FALSE)</f>
        <v>#N/A</v>
      </c>
      <c r="F246" s="45"/>
      <c r="G246" s="45"/>
      <c r="H246" s="45"/>
      <c r="I246" s="45"/>
      <c r="J246" s="43" t="s">
        <v>281</v>
      </c>
      <c r="K246" s="46" t="s">
        <v>447</v>
      </c>
    </row>
    <row r="247" spans="1:11" ht="15" customHeight="1">
      <c r="A247" s="45" t="s">
        <v>461</v>
      </c>
      <c r="B247" s="45" t="s">
        <v>955</v>
      </c>
      <c r="C247" s="45" t="s">
        <v>462</v>
      </c>
      <c r="D247" s="45"/>
      <c r="E247" s="45" t="e">
        <f>VLOOKUP(C247,Average!B$2:D$56,3,FALSE)</f>
        <v>#N/A</v>
      </c>
      <c r="F247" s="45"/>
      <c r="G247" s="45"/>
      <c r="H247" s="45"/>
      <c r="I247" s="45"/>
      <c r="J247" s="44">
        <v>22</v>
      </c>
      <c r="K247" s="46" t="s">
        <v>363</v>
      </c>
    </row>
    <row r="248" spans="1:11" ht="15" customHeight="1">
      <c r="A248" s="45" t="s">
        <v>461</v>
      </c>
      <c r="B248" s="45" t="s">
        <v>955</v>
      </c>
      <c r="C248" s="45" t="s">
        <v>462</v>
      </c>
      <c r="D248" s="45"/>
      <c r="E248" s="45" t="e">
        <f>VLOOKUP(C248,Average!B$2:D$56,3,FALSE)</f>
        <v>#N/A</v>
      </c>
      <c r="F248" s="45"/>
      <c r="G248" s="45"/>
      <c r="H248" s="45"/>
      <c r="I248" s="45"/>
      <c r="J248" s="44">
        <v>19</v>
      </c>
      <c r="K248" s="46" t="s">
        <v>463</v>
      </c>
    </row>
    <row r="249" spans="1:11" ht="15" customHeight="1">
      <c r="A249" s="45" t="s">
        <v>502</v>
      </c>
      <c r="B249" s="45" t="s">
        <v>975</v>
      </c>
      <c r="C249" s="45" t="s">
        <v>503</v>
      </c>
      <c r="D249" s="45"/>
      <c r="E249" s="45" t="e">
        <f>VLOOKUP(C249,Average!B$2:D$56,3,FALSE)</f>
        <v>#N/A</v>
      </c>
      <c r="F249" s="45"/>
      <c r="G249" s="45"/>
      <c r="H249" s="45"/>
      <c r="I249" s="45"/>
      <c r="J249" s="44" t="s">
        <v>879</v>
      </c>
      <c r="K249" s="45" t="s">
        <v>852</v>
      </c>
    </row>
    <row r="250" spans="1:11" ht="15" customHeight="1">
      <c r="A250" s="45" t="s">
        <v>502</v>
      </c>
      <c r="B250" s="45" t="s">
        <v>975</v>
      </c>
      <c r="C250" s="45" t="s">
        <v>503</v>
      </c>
      <c r="D250" s="45"/>
      <c r="E250" s="45" t="e">
        <f>VLOOKUP(C250,Average!B$2:D$56,3,FALSE)</f>
        <v>#N/A</v>
      </c>
      <c r="F250" s="45"/>
      <c r="G250" s="45"/>
      <c r="H250" s="45"/>
      <c r="I250" s="45"/>
      <c r="J250" s="44">
        <v>25</v>
      </c>
      <c r="K250" s="46" t="s">
        <v>363</v>
      </c>
    </row>
    <row r="251" spans="1:11" ht="15" customHeight="1">
      <c r="A251" s="45" t="s">
        <v>574</v>
      </c>
      <c r="B251" s="45" t="s">
        <v>996</v>
      </c>
      <c r="C251" s="45" t="s">
        <v>575</v>
      </c>
      <c r="D251" s="45"/>
      <c r="E251" s="45" t="e">
        <f>VLOOKUP(C251,Average!B$2:D$56,3,FALSE)</f>
        <v>#N/A</v>
      </c>
      <c r="F251" s="45"/>
      <c r="G251" s="45"/>
      <c r="H251" s="45"/>
      <c r="I251" s="45"/>
      <c r="J251" s="45"/>
      <c r="K251" s="46" t="s">
        <v>576</v>
      </c>
    </row>
    <row r="252" spans="1:11" ht="15" customHeight="1">
      <c r="A252" s="45" t="s">
        <v>574</v>
      </c>
      <c r="B252" s="45" t="s">
        <v>996</v>
      </c>
      <c r="C252" s="45" t="s">
        <v>575</v>
      </c>
      <c r="D252" s="45"/>
      <c r="E252" s="45" t="e">
        <f>VLOOKUP(C252,Average!B$2:D$56,3,FALSE)</f>
        <v>#N/A</v>
      </c>
      <c r="F252" s="45"/>
      <c r="G252" s="45"/>
      <c r="H252" s="45"/>
      <c r="I252" s="45"/>
      <c r="J252" s="44">
        <v>9</v>
      </c>
      <c r="K252" s="46" t="s">
        <v>278</v>
      </c>
    </row>
    <row r="253" spans="1:11" ht="15" customHeight="1">
      <c r="A253" s="45" t="s">
        <v>634</v>
      </c>
      <c r="B253" s="45" t="s">
        <v>1018</v>
      </c>
      <c r="C253" s="45" t="s">
        <v>635</v>
      </c>
      <c r="D253" s="45"/>
      <c r="E253" s="45" t="e">
        <f>VLOOKUP(C253,Average!B$2:D$56,3,FALSE)</f>
        <v>#N/A</v>
      </c>
      <c r="F253" s="45"/>
      <c r="G253" s="45"/>
      <c r="H253" s="45"/>
      <c r="I253" s="45"/>
      <c r="J253" s="44"/>
      <c r="K253" s="45" t="s">
        <v>633</v>
      </c>
    </row>
    <row r="254" spans="1:11" ht="15" customHeight="1">
      <c r="A254" s="45" t="s">
        <v>636</v>
      </c>
      <c r="B254" s="45" t="s">
        <v>1019</v>
      </c>
      <c r="C254" s="45" t="s">
        <v>637</v>
      </c>
      <c r="D254" s="45"/>
      <c r="E254" s="45" t="e">
        <f>VLOOKUP(C254,Average!B$2:D$56,3,FALSE)</f>
        <v>#N/A</v>
      </c>
      <c r="F254" s="45"/>
      <c r="G254" s="45"/>
      <c r="H254" s="45"/>
      <c r="I254" s="45"/>
      <c r="J254" s="44"/>
      <c r="K254" s="45" t="s">
        <v>638</v>
      </c>
    </row>
    <row r="255" spans="1:11" ht="15" customHeight="1">
      <c r="A255" s="45" t="s">
        <v>636</v>
      </c>
      <c r="B255" s="45" t="s">
        <v>1019</v>
      </c>
      <c r="C255" s="45" t="s">
        <v>637</v>
      </c>
      <c r="D255" s="45"/>
      <c r="E255" s="45" t="e">
        <f>VLOOKUP(C255,Average!B$2:D$56,3,FALSE)</f>
        <v>#N/A</v>
      </c>
      <c r="F255" s="45"/>
      <c r="G255" s="45"/>
      <c r="H255" s="45"/>
      <c r="I255" s="45"/>
      <c r="J255" s="44">
        <v>2</v>
      </c>
      <c r="K255" s="46" t="s">
        <v>639</v>
      </c>
    </row>
    <row r="256" spans="1:11" ht="15" customHeight="1">
      <c r="A256" s="45" t="s">
        <v>636</v>
      </c>
      <c r="B256" s="45" t="s">
        <v>1019</v>
      </c>
      <c r="C256" s="45" t="s">
        <v>637</v>
      </c>
      <c r="D256" s="45"/>
      <c r="E256" s="45" t="e">
        <f>VLOOKUP(C256,Average!B$2:D$56,3,FALSE)</f>
        <v>#N/A</v>
      </c>
      <c r="F256" s="45"/>
      <c r="G256" s="45"/>
      <c r="H256" s="45"/>
      <c r="I256" s="45"/>
      <c r="J256" s="44"/>
      <c r="K256" s="46" t="s">
        <v>640</v>
      </c>
    </row>
    <row r="257" spans="1:11" ht="15" customHeight="1">
      <c r="A257" s="45" t="s">
        <v>648</v>
      </c>
      <c r="B257" s="45" t="s">
        <v>1023</v>
      </c>
      <c r="C257" s="45" t="s">
        <v>649</v>
      </c>
      <c r="D257" s="45"/>
      <c r="E257" s="45" t="e">
        <f>VLOOKUP(C257,Average!B$2:D$56,3,FALSE)</f>
        <v>#N/A</v>
      </c>
      <c r="F257" s="45"/>
      <c r="G257" s="45"/>
      <c r="H257" s="45"/>
      <c r="I257" s="45"/>
      <c r="J257" s="44"/>
      <c r="K257" s="46" t="s">
        <v>650</v>
      </c>
    </row>
    <row r="258" spans="1:11" ht="15" customHeight="1">
      <c r="A258" s="45" t="s">
        <v>651</v>
      </c>
      <c r="B258" s="45" t="s">
        <v>1024</v>
      </c>
      <c r="C258" s="45" t="s">
        <v>652</v>
      </c>
      <c r="D258" s="45"/>
      <c r="E258" s="45" t="e">
        <f>VLOOKUP(C258,Average!B$2:D$56,3,FALSE)</f>
        <v>#N/A</v>
      </c>
      <c r="F258" s="45"/>
      <c r="G258" s="45"/>
      <c r="H258" s="45"/>
      <c r="I258" s="45"/>
      <c r="J258" s="43"/>
      <c r="K258" s="45" t="s">
        <v>863</v>
      </c>
    </row>
    <row r="259" spans="1:11" ht="15" customHeight="1">
      <c r="A259" s="45" t="s">
        <v>653</v>
      </c>
      <c r="B259" s="45" t="s">
        <v>1025</v>
      </c>
      <c r="C259" s="45" t="s">
        <v>654</v>
      </c>
      <c r="D259" s="45"/>
      <c r="E259" s="45" t="e">
        <f>VLOOKUP(C259,Average!B$2:D$56,3,FALSE)</f>
        <v>#N/A</v>
      </c>
      <c r="F259" s="45"/>
      <c r="G259" s="45"/>
      <c r="H259" s="45"/>
      <c r="I259" s="45"/>
      <c r="J259" s="43" t="s">
        <v>281</v>
      </c>
      <c r="K259" s="46" t="s">
        <v>655</v>
      </c>
    </row>
    <row r="260" spans="1:11" ht="15" customHeight="1">
      <c r="A260" s="45" t="s">
        <v>653</v>
      </c>
      <c r="B260" s="45" t="s">
        <v>1025</v>
      </c>
      <c r="C260" s="45" t="s">
        <v>654</v>
      </c>
      <c r="D260" s="45"/>
      <c r="E260" s="45" t="e">
        <f>VLOOKUP(C260,Average!B$2:D$56,3,FALSE)</f>
        <v>#N/A</v>
      </c>
      <c r="F260" s="45"/>
      <c r="G260" s="45"/>
      <c r="H260" s="45"/>
      <c r="I260" s="45"/>
      <c r="J260" s="44">
        <v>12</v>
      </c>
      <c r="K260" s="46" t="s">
        <v>561</v>
      </c>
    </row>
    <row r="261" spans="1:11" ht="15" customHeight="1">
      <c r="A261" s="45" t="s">
        <v>653</v>
      </c>
      <c r="B261" s="45" t="s">
        <v>1025</v>
      </c>
      <c r="C261" s="45" t="s">
        <v>654</v>
      </c>
      <c r="D261" s="45"/>
      <c r="E261" s="45" t="e">
        <f>VLOOKUP(C261,Average!B$2:D$56,3,FALSE)</f>
        <v>#N/A</v>
      </c>
      <c r="F261" s="45"/>
      <c r="G261" s="45"/>
      <c r="H261" s="45"/>
      <c r="I261" s="45"/>
      <c r="J261" s="44">
        <v>17</v>
      </c>
      <c r="K261" s="46" t="s">
        <v>463</v>
      </c>
    </row>
    <row r="262" spans="1:11" ht="15" customHeight="1">
      <c r="A262" s="45" t="s">
        <v>661</v>
      </c>
      <c r="B262" s="45" t="s">
        <v>1028</v>
      </c>
      <c r="C262" s="45" t="s">
        <v>662</v>
      </c>
      <c r="D262" s="45"/>
      <c r="E262" s="45" t="e">
        <f>VLOOKUP(C262,Average!B$2:D$56,3,FALSE)</f>
        <v>#N/A</v>
      </c>
      <c r="F262" s="45"/>
      <c r="G262" s="45"/>
      <c r="H262" s="45"/>
      <c r="I262" s="45"/>
      <c r="J262" s="43" t="s">
        <v>281</v>
      </c>
      <c r="K262" s="45" t="s">
        <v>663</v>
      </c>
    </row>
    <row r="263" spans="1:11" ht="15" customHeight="1">
      <c r="A263" s="45" t="s">
        <v>661</v>
      </c>
      <c r="B263" s="45" t="s">
        <v>1028</v>
      </c>
      <c r="C263" s="45" t="s">
        <v>662</v>
      </c>
      <c r="D263" s="45"/>
      <c r="E263" s="45" t="e">
        <f>VLOOKUP(C263,Average!B$2:D$56,3,FALSE)</f>
        <v>#N/A</v>
      </c>
      <c r="F263" s="45"/>
      <c r="G263" s="45"/>
      <c r="H263" s="45"/>
      <c r="I263" s="45"/>
      <c r="J263" s="44">
        <v>5</v>
      </c>
      <c r="K263" s="46" t="s">
        <v>664</v>
      </c>
    </row>
    <row r="264" spans="1:11" ht="15" customHeight="1">
      <c r="A264" s="45" t="s">
        <v>661</v>
      </c>
      <c r="B264" s="45" t="s">
        <v>1028</v>
      </c>
      <c r="C264" s="45" t="s">
        <v>662</v>
      </c>
      <c r="D264" s="45"/>
      <c r="E264" s="45" t="e">
        <f>VLOOKUP(C264,Average!B$2:D$56,3,FALSE)</f>
        <v>#N/A</v>
      </c>
      <c r="F264" s="45"/>
      <c r="G264" s="45"/>
      <c r="H264" s="45"/>
      <c r="I264" s="45"/>
      <c r="J264" s="44"/>
      <c r="K264" s="46" t="s">
        <v>665</v>
      </c>
    </row>
    <row r="265" spans="1:11" ht="15" customHeight="1">
      <c r="A265" s="45" t="s">
        <v>701</v>
      </c>
      <c r="B265" s="45" t="s">
        <v>1042</v>
      </c>
      <c r="C265" s="45" t="s">
        <v>702</v>
      </c>
      <c r="D265" s="45"/>
      <c r="E265" s="45" t="e">
        <f>VLOOKUP(C265,Average!B$2:D$56,3,FALSE)</f>
        <v>#N/A</v>
      </c>
      <c r="F265" s="45"/>
      <c r="G265" s="45"/>
      <c r="H265" s="45"/>
      <c r="I265" s="45"/>
      <c r="J265" s="44"/>
      <c r="K265" s="46" t="s">
        <v>703</v>
      </c>
    </row>
    <row r="266" spans="1:11" ht="15" customHeight="1">
      <c r="A266" s="45" t="s">
        <v>255</v>
      </c>
      <c r="B266" s="45" t="s">
        <v>901</v>
      </c>
      <c r="C266" s="45" t="s">
        <v>256</v>
      </c>
      <c r="D266" s="45"/>
      <c r="E266" s="45" t="e">
        <f>VLOOKUP(C266,Average!B$2:D$56,3,FALSE)</f>
        <v>#N/A</v>
      </c>
      <c r="F266" s="45"/>
      <c r="G266" s="45"/>
      <c r="H266" s="45"/>
      <c r="I266" s="45"/>
      <c r="J266" s="44"/>
      <c r="K266" s="46" t="s">
        <v>257</v>
      </c>
    </row>
    <row r="267" spans="1:11" ht="15" customHeight="1">
      <c r="A267" s="45" t="s">
        <v>320</v>
      </c>
      <c r="B267" s="45" t="s">
        <v>917</v>
      </c>
      <c r="C267" s="45" t="s">
        <v>321</v>
      </c>
      <c r="D267" s="45"/>
      <c r="E267" s="45" t="e">
        <f>VLOOKUP(C267,Average!B$2:D$56,3,FALSE)</f>
        <v>#N/A</v>
      </c>
      <c r="F267" s="45"/>
      <c r="G267" s="45"/>
      <c r="H267" s="45"/>
      <c r="I267" s="45"/>
      <c r="J267" s="44" t="s">
        <v>322</v>
      </c>
      <c r="K267" s="46" t="s">
        <v>323</v>
      </c>
    </row>
    <row r="268" spans="1:11" ht="15" customHeight="1">
      <c r="A268" s="45" t="s">
        <v>785</v>
      </c>
      <c r="B268" s="45" t="s">
        <v>1071</v>
      </c>
      <c r="C268" s="45" t="s">
        <v>786</v>
      </c>
      <c r="D268" s="45"/>
      <c r="E268" s="45" t="e">
        <f>VLOOKUP(C268,Average!B$2:D$56,3,FALSE)</f>
        <v>#N/A</v>
      </c>
      <c r="F268" s="45"/>
      <c r="G268" s="45"/>
      <c r="H268" s="45"/>
      <c r="I268" s="45"/>
      <c r="J268" s="44" t="s">
        <v>787</v>
      </c>
      <c r="K268" s="53" t="s">
        <v>865</v>
      </c>
    </row>
    <row r="269" spans="1:11" ht="15" customHeight="1">
      <c r="A269" s="45" t="s">
        <v>785</v>
      </c>
      <c r="B269" s="45" t="s">
        <v>1071</v>
      </c>
      <c r="C269" s="45" t="s">
        <v>786</v>
      </c>
      <c r="D269" s="45"/>
      <c r="E269" s="45" t="e">
        <f>VLOOKUP(C269,Average!B$2:D$56,3,FALSE)</f>
        <v>#N/A</v>
      </c>
      <c r="F269" s="45"/>
      <c r="G269" s="45"/>
      <c r="H269" s="45"/>
      <c r="I269" s="45"/>
      <c r="J269" s="44" t="s">
        <v>891</v>
      </c>
      <c r="K269" s="46" t="s">
        <v>788</v>
      </c>
    </row>
    <row r="270" spans="1:11" ht="15" customHeight="1">
      <c r="A270" s="45" t="s">
        <v>872</v>
      </c>
      <c r="B270" s="45" t="s">
        <v>1081</v>
      </c>
      <c r="C270" s="45" t="s">
        <v>873</v>
      </c>
      <c r="D270" s="45"/>
      <c r="E270" s="45" t="e">
        <f>VLOOKUP(C270,Average!B$2:D$56,3,FALSE)</f>
        <v>#N/A</v>
      </c>
      <c r="F270" s="45"/>
      <c r="G270" s="45"/>
      <c r="H270" s="45"/>
      <c r="I270" s="45"/>
      <c r="J270" s="44">
        <v>7</v>
      </c>
      <c r="K270" s="46" t="s">
        <v>664</v>
      </c>
    </row>
    <row r="271" spans="1:11" ht="15" customHeight="1">
      <c r="A271" s="45" t="s">
        <v>292</v>
      </c>
      <c r="B271" s="45" t="s">
        <v>909</v>
      </c>
      <c r="C271" s="45" t="s">
        <v>293</v>
      </c>
      <c r="D271" s="45"/>
      <c r="E271" s="45" t="e">
        <f>VLOOKUP(C271,Average!B$2:D$56,3,FALSE)</f>
        <v>#N/A</v>
      </c>
      <c r="F271" s="45"/>
      <c r="G271" s="45"/>
      <c r="H271" s="45"/>
      <c r="I271" s="45"/>
      <c r="J271" s="43"/>
      <c r="K271" s="46" t="s">
        <v>294</v>
      </c>
    </row>
    <row r="272" spans="1:11" ht="15" customHeight="1">
      <c r="A272" s="45" t="s">
        <v>292</v>
      </c>
      <c r="B272" s="45" t="s">
        <v>909</v>
      </c>
      <c r="C272" s="45" t="s">
        <v>293</v>
      </c>
      <c r="D272" s="45"/>
      <c r="E272" s="45" t="e">
        <f>VLOOKUP(C272,Average!B$2:D$56,3,FALSE)</f>
        <v>#N/A</v>
      </c>
      <c r="F272" s="45"/>
      <c r="G272" s="45"/>
      <c r="H272" s="45"/>
      <c r="I272" s="45"/>
      <c r="J272" s="43"/>
      <c r="K272" s="46" t="s">
        <v>295</v>
      </c>
    </row>
    <row r="273" spans="1:11" ht="15" customHeight="1">
      <c r="A273" s="45" t="s">
        <v>292</v>
      </c>
      <c r="B273" s="45" t="s">
        <v>909</v>
      </c>
      <c r="C273" s="45" t="s">
        <v>293</v>
      </c>
      <c r="D273" s="45"/>
      <c r="E273" s="45" t="e">
        <f>VLOOKUP(C273,Average!B$2:D$56,3,FALSE)</f>
        <v>#N/A</v>
      </c>
      <c r="F273" s="45"/>
      <c r="G273" s="45"/>
      <c r="H273" s="45"/>
      <c r="I273" s="45"/>
      <c r="J273" s="44" t="s">
        <v>296</v>
      </c>
      <c r="K273" s="46" t="s">
        <v>297</v>
      </c>
    </row>
    <row r="274" spans="1:11" ht="15" customHeight="1">
      <c r="A274" s="45" t="s">
        <v>298</v>
      </c>
      <c r="B274" s="45" t="s">
        <v>910</v>
      </c>
      <c r="C274" s="45" t="s">
        <v>299</v>
      </c>
      <c r="D274" s="45"/>
      <c r="E274" s="45" t="e">
        <f>VLOOKUP(C274,Average!B$2:D$56,3,FALSE)</f>
        <v>#N/A</v>
      </c>
      <c r="F274" s="45"/>
      <c r="G274" s="45"/>
      <c r="H274" s="45"/>
      <c r="I274" s="45"/>
      <c r="J274" s="43" t="s">
        <v>281</v>
      </c>
      <c r="K274" s="46" t="s">
        <v>283</v>
      </c>
    </row>
    <row r="275" spans="1:11" ht="15" customHeight="1">
      <c r="A275" s="45" t="s">
        <v>882</v>
      </c>
      <c r="B275" s="45" t="s">
        <v>913</v>
      </c>
      <c r="C275" s="45" t="s">
        <v>305</v>
      </c>
      <c r="D275" s="45"/>
      <c r="E275" s="45" t="e">
        <f>VLOOKUP(C275,Average!B$2:D$56,3,FALSE)</f>
        <v>#N/A</v>
      </c>
      <c r="F275" s="45"/>
      <c r="G275" s="45"/>
      <c r="H275" s="45"/>
      <c r="I275" s="45"/>
      <c r="J275" s="45"/>
      <c r="K275" s="46" t="s">
        <v>306</v>
      </c>
    </row>
    <row r="276" spans="1:11" ht="15" customHeight="1">
      <c r="A276" s="45" t="s">
        <v>307</v>
      </c>
      <c r="B276" s="45" t="s">
        <v>914</v>
      </c>
      <c r="C276" s="45" t="s">
        <v>308</v>
      </c>
      <c r="D276" s="45"/>
      <c r="E276" s="45" t="e">
        <f>VLOOKUP(C276,Average!B$2:D$56,3,FALSE)</f>
        <v>#N/A</v>
      </c>
      <c r="F276" s="45"/>
      <c r="G276" s="45"/>
      <c r="H276" s="45"/>
      <c r="I276" s="45"/>
      <c r="J276" s="43"/>
      <c r="K276" s="46" t="s">
        <v>309</v>
      </c>
    </row>
    <row r="277" spans="1:11" ht="15" customHeight="1">
      <c r="A277" s="45" t="s">
        <v>310</v>
      </c>
      <c r="B277" s="45" t="s">
        <v>915</v>
      </c>
      <c r="C277" s="45" t="s">
        <v>311</v>
      </c>
      <c r="D277" s="45"/>
      <c r="E277" s="45" t="e">
        <f>VLOOKUP(C277,Average!B$2:D$56,3,FALSE)</f>
        <v>#N/A</v>
      </c>
      <c r="F277" s="45"/>
      <c r="G277" s="45"/>
      <c r="H277" s="45"/>
      <c r="I277" s="45"/>
      <c r="J277" s="45"/>
      <c r="K277" s="46" t="s">
        <v>312</v>
      </c>
    </row>
    <row r="278" spans="1:11" ht="15" customHeight="1">
      <c r="A278" s="45" t="s">
        <v>310</v>
      </c>
      <c r="B278" s="45" t="s">
        <v>915</v>
      </c>
      <c r="C278" s="45" t="s">
        <v>311</v>
      </c>
      <c r="D278" s="45"/>
      <c r="E278" s="45" t="e">
        <f>VLOOKUP(C278,Average!B$2:D$56,3,FALSE)</f>
        <v>#N/A</v>
      </c>
      <c r="F278" s="45"/>
      <c r="G278" s="45"/>
      <c r="H278" s="45"/>
      <c r="I278" s="45"/>
      <c r="J278" s="44">
        <v>11</v>
      </c>
      <c r="K278" s="46" t="s">
        <v>313</v>
      </c>
    </row>
    <row r="279" spans="1:11" ht="15" customHeight="1">
      <c r="A279" s="45" t="s">
        <v>314</v>
      </c>
      <c r="B279" s="45" t="s">
        <v>915</v>
      </c>
      <c r="C279" s="45" t="s">
        <v>311</v>
      </c>
      <c r="D279" s="45"/>
      <c r="E279" s="45" t="e">
        <f>VLOOKUP(C279,Average!B$2:D$56,3,FALSE)</f>
        <v>#N/A</v>
      </c>
      <c r="F279" s="45"/>
      <c r="G279" s="45"/>
      <c r="H279" s="45"/>
      <c r="I279" s="45"/>
      <c r="J279" s="44">
        <v>20</v>
      </c>
      <c r="K279" s="46" t="s">
        <v>286</v>
      </c>
    </row>
    <row r="280" spans="1:11" ht="15" customHeight="1">
      <c r="A280" s="45" t="s">
        <v>448</v>
      </c>
      <c r="B280" s="45" t="s">
        <v>950</v>
      </c>
      <c r="C280" s="45" t="s">
        <v>449</v>
      </c>
      <c r="D280" s="45"/>
      <c r="E280" s="45" t="e">
        <f>VLOOKUP(C280,Average!B$2:D$56,3,FALSE)</f>
        <v>#N/A</v>
      </c>
      <c r="F280" s="45"/>
      <c r="G280" s="45"/>
      <c r="H280" s="45"/>
      <c r="I280" s="45"/>
      <c r="J280" s="44">
        <v>11</v>
      </c>
      <c r="K280" s="45" t="s">
        <v>837</v>
      </c>
    </row>
    <row r="281" spans="1:11" ht="15" customHeight="1">
      <c r="A281" s="45" t="s">
        <v>750</v>
      </c>
      <c r="B281" s="45" t="s">
        <v>1061</v>
      </c>
      <c r="C281" s="45" t="s">
        <v>751</v>
      </c>
      <c r="D281" s="45"/>
      <c r="E281" s="45" t="e">
        <f>VLOOKUP(C281,Average!B$2:D$56,3,FALSE)</f>
        <v>#N/A</v>
      </c>
      <c r="F281" s="45"/>
      <c r="G281" s="45"/>
      <c r="H281" s="45"/>
      <c r="I281" s="45"/>
      <c r="J281" s="44"/>
      <c r="K281" s="46" t="s">
        <v>752</v>
      </c>
    </row>
    <row r="282" spans="1:11" ht="15" customHeight="1">
      <c r="A282" s="45" t="s">
        <v>750</v>
      </c>
      <c r="B282" s="45" t="s">
        <v>1061</v>
      </c>
      <c r="C282" s="45" t="s">
        <v>751</v>
      </c>
      <c r="D282" s="45"/>
      <c r="E282" s="45" t="e">
        <f>VLOOKUP(C282,Average!B$2:D$56,3,FALSE)</f>
        <v>#N/A</v>
      </c>
      <c r="F282" s="45"/>
      <c r="G282" s="45"/>
      <c r="H282" s="45"/>
      <c r="I282" s="45"/>
      <c r="J282" s="44"/>
      <c r="K282" s="46" t="s">
        <v>753</v>
      </c>
    </row>
    <row r="283" spans="1:11" ht="15" customHeight="1">
      <c r="A283" s="45" t="s">
        <v>756</v>
      </c>
      <c r="B283" s="45" t="s">
        <v>1063</v>
      </c>
      <c r="C283" s="45" t="s">
        <v>757</v>
      </c>
      <c r="D283" s="45"/>
      <c r="E283" s="45" t="e">
        <f>VLOOKUP(C283,Average!B$2:D$56,3,FALSE)</f>
        <v>#N/A</v>
      </c>
      <c r="F283" s="45"/>
      <c r="G283" s="45"/>
      <c r="H283" s="45"/>
      <c r="I283" s="45"/>
      <c r="J283" s="44"/>
      <c r="K283" s="45" t="s">
        <v>864</v>
      </c>
    </row>
    <row r="284" spans="1:11" ht="15" customHeight="1">
      <c r="A284" s="45" t="s">
        <v>756</v>
      </c>
      <c r="B284" s="45" t="s">
        <v>1063</v>
      </c>
      <c r="C284" s="45" t="s">
        <v>757</v>
      </c>
      <c r="D284" s="45"/>
      <c r="E284" s="45" t="e">
        <f>VLOOKUP(C284,Average!B$2:D$56,3,FALSE)</f>
        <v>#N/A</v>
      </c>
      <c r="F284" s="45"/>
      <c r="G284" s="45"/>
      <c r="H284" s="45"/>
      <c r="I284" s="45"/>
      <c r="J284" s="44" t="s">
        <v>758</v>
      </c>
      <c r="K284" s="46" t="s">
        <v>285</v>
      </c>
    </row>
    <row r="285" spans="1:11" ht="15" customHeight="1">
      <c r="A285" s="45" t="s">
        <v>756</v>
      </c>
      <c r="B285" s="45" t="s">
        <v>1063</v>
      </c>
      <c r="C285" s="45" t="s">
        <v>757</v>
      </c>
      <c r="D285" s="45"/>
      <c r="E285" s="45" t="e">
        <f>VLOOKUP(C285,Average!B$2:D$56,3,FALSE)</f>
        <v>#N/A</v>
      </c>
      <c r="F285" s="45"/>
      <c r="G285" s="45"/>
      <c r="H285" s="45"/>
      <c r="I285" s="45"/>
      <c r="J285" s="44" t="s">
        <v>759</v>
      </c>
      <c r="K285" s="46" t="s">
        <v>463</v>
      </c>
    </row>
    <row r="286" spans="1:11" ht="15" customHeight="1">
      <c r="A286" s="45" t="s">
        <v>756</v>
      </c>
      <c r="B286" s="45" t="s">
        <v>1063</v>
      </c>
      <c r="C286" s="45" t="s">
        <v>757</v>
      </c>
      <c r="D286" s="45"/>
      <c r="E286" s="45" t="e">
        <f>VLOOKUP(C286,Average!B$2:D$56,3,FALSE)</f>
        <v>#N/A</v>
      </c>
      <c r="F286" s="45"/>
      <c r="G286" s="45"/>
      <c r="H286" s="45"/>
      <c r="I286" s="45"/>
      <c r="J286" s="44"/>
      <c r="K286" s="46" t="s">
        <v>760</v>
      </c>
    </row>
    <row r="287" spans="1:11" ht="15" customHeight="1">
      <c r="A287" s="45" t="s">
        <v>756</v>
      </c>
      <c r="B287" s="45" t="s">
        <v>1063</v>
      </c>
      <c r="C287" s="45" t="s">
        <v>757</v>
      </c>
      <c r="D287" s="45"/>
      <c r="E287" s="45" t="e">
        <f>VLOOKUP(C287,Average!B$2:D$56,3,FALSE)</f>
        <v>#N/A</v>
      </c>
      <c r="F287" s="45"/>
      <c r="G287" s="45"/>
      <c r="H287" s="45"/>
      <c r="I287" s="45"/>
      <c r="J287" s="44"/>
      <c r="K287" s="46" t="s">
        <v>761</v>
      </c>
    </row>
    <row r="288" spans="1:11" ht="15" customHeight="1">
      <c r="A288" s="45" t="s">
        <v>756</v>
      </c>
      <c r="B288" s="45" t="s">
        <v>1063</v>
      </c>
      <c r="C288" s="45" t="s">
        <v>757</v>
      </c>
      <c r="D288" s="45"/>
      <c r="E288" s="45" t="e">
        <f>VLOOKUP(C288,Average!B$2:D$56,3,FALSE)</f>
        <v>#N/A</v>
      </c>
      <c r="F288" s="45"/>
      <c r="G288" s="45"/>
      <c r="H288" s="45"/>
      <c r="I288" s="45"/>
      <c r="J288" s="44">
        <v>4</v>
      </c>
      <c r="K288" s="46" t="s">
        <v>664</v>
      </c>
    </row>
    <row r="289" spans="1:11" ht="15" customHeight="1">
      <c r="A289" s="45" t="s">
        <v>756</v>
      </c>
      <c r="B289" s="45" t="s">
        <v>1063</v>
      </c>
      <c r="C289" s="45" t="s">
        <v>757</v>
      </c>
      <c r="D289" s="45"/>
      <c r="E289" s="45" t="e">
        <f>VLOOKUP(C289,Average!B$2:D$56,3,FALSE)</f>
        <v>#N/A</v>
      </c>
      <c r="F289" s="45"/>
      <c r="G289" s="45"/>
      <c r="H289" s="45"/>
      <c r="I289" s="45"/>
      <c r="J289" s="44">
        <v>24</v>
      </c>
      <c r="K289" s="46" t="s">
        <v>286</v>
      </c>
    </row>
    <row r="290" spans="1:11" ht="15" customHeight="1">
      <c r="A290" s="45" t="s">
        <v>756</v>
      </c>
      <c r="B290" s="45" t="s">
        <v>1063</v>
      </c>
      <c r="C290" s="45" t="s">
        <v>757</v>
      </c>
      <c r="D290" s="45"/>
      <c r="E290" s="45" t="e">
        <f>VLOOKUP(C290,Average!B$2:D$56,3,FALSE)</f>
        <v>#N/A</v>
      </c>
      <c r="F290" s="45"/>
      <c r="G290" s="45"/>
      <c r="H290" s="45"/>
      <c r="I290" s="45"/>
      <c r="J290" s="44">
        <v>1</v>
      </c>
      <c r="K290" s="46" t="s">
        <v>734</v>
      </c>
    </row>
    <row r="291" spans="1:11" ht="15" customHeight="1">
      <c r="A291" s="45" t="s">
        <v>756</v>
      </c>
      <c r="B291" s="45" t="s">
        <v>1063</v>
      </c>
      <c r="C291" s="45" t="s">
        <v>757</v>
      </c>
      <c r="D291" s="45"/>
      <c r="E291" s="45" t="e">
        <f>VLOOKUP(C291,Average!B$2:D$56,3,FALSE)</f>
        <v>#N/A</v>
      </c>
      <c r="F291" s="45"/>
      <c r="G291" s="45"/>
      <c r="H291" s="45"/>
      <c r="I291" s="45"/>
      <c r="J291" s="44"/>
      <c r="K291" s="46" t="s">
        <v>762</v>
      </c>
    </row>
    <row r="292" spans="1:11" ht="15" customHeight="1">
      <c r="A292" s="45" t="s">
        <v>326</v>
      </c>
      <c r="B292" s="45" t="s">
        <v>919</v>
      </c>
      <c r="C292" s="45" t="s">
        <v>327</v>
      </c>
      <c r="D292" s="45"/>
      <c r="E292" s="45" t="e">
        <f>VLOOKUP(C292,Average!B$2:D$56,3,FALSE)</f>
        <v>#N/A</v>
      </c>
      <c r="F292" s="45"/>
      <c r="G292" s="45"/>
      <c r="H292" s="45"/>
      <c r="I292" s="45"/>
      <c r="J292" s="44"/>
      <c r="K292" s="46" t="s">
        <v>328</v>
      </c>
    </row>
    <row r="293" spans="1:11" ht="15" customHeight="1">
      <c r="A293" s="45" t="s">
        <v>329</v>
      </c>
      <c r="B293" s="45" t="s">
        <v>920</v>
      </c>
      <c r="C293" s="45" t="s">
        <v>330</v>
      </c>
      <c r="D293" s="45"/>
      <c r="E293" s="45" t="e">
        <f>VLOOKUP(C293,Average!B$2:D$56,3,FALSE)</f>
        <v>#N/A</v>
      </c>
      <c r="F293" s="45"/>
      <c r="G293" s="45"/>
      <c r="H293" s="45"/>
      <c r="I293" s="45"/>
      <c r="J293" s="44">
        <v>15</v>
      </c>
      <c r="K293" s="46" t="s">
        <v>319</v>
      </c>
    </row>
    <row r="294" spans="1:11" ht="15" customHeight="1">
      <c r="A294" s="45" t="s">
        <v>883</v>
      </c>
      <c r="B294" s="45" t="s">
        <v>922</v>
      </c>
      <c r="C294" s="45" t="s">
        <v>335</v>
      </c>
      <c r="D294" s="45"/>
      <c r="E294" s="45" t="e">
        <f>VLOOKUP(C294,Average!B$2:D$56,3,FALSE)</f>
        <v>#N/A</v>
      </c>
      <c r="F294" s="45"/>
      <c r="G294" s="45"/>
      <c r="H294" s="45"/>
      <c r="I294" s="45"/>
      <c r="J294" s="45">
        <v>4</v>
      </c>
      <c r="K294" s="46" t="s">
        <v>334</v>
      </c>
    </row>
    <row r="295" spans="1:11" ht="15" customHeight="1">
      <c r="A295" s="45" t="s">
        <v>606</v>
      </c>
      <c r="B295" s="45" t="s">
        <v>1007</v>
      </c>
      <c r="C295" s="45" t="s">
        <v>607</v>
      </c>
      <c r="D295" s="45"/>
      <c r="E295" s="45" t="e">
        <f>VLOOKUP(C295,Average!B$2:D$56,3,FALSE)</f>
        <v>#N/A</v>
      </c>
      <c r="F295" s="45"/>
      <c r="G295" s="45"/>
      <c r="H295" s="45"/>
      <c r="I295" s="45"/>
      <c r="J295" s="44">
        <v>1</v>
      </c>
      <c r="K295" s="45" t="s">
        <v>858</v>
      </c>
    </row>
    <row r="296" spans="1:11" ht="15" customHeight="1">
      <c r="A296" s="45" t="s">
        <v>811</v>
      </c>
      <c r="B296" s="45" t="s">
        <v>1076</v>
      </c>
      <c r="C296" s="45" t="s">
        <v>812</v>
      </c>
      <c r="D296" s="45"/>
      <c r="E296" s="45" t="e">
        <f>VLOOKUP(C296,Average!B$2:D$56,3,FALSE)</f>
        <v>#N/A</v>
      </c>
      <c r="F296" s="45"/>
      <c r="G296" s="45"/>
      <c r="H296" s="45"/>
      <c r="I296" s="45"/>
      <c r="J296" s="44" t="s">
        <v>813</v>
      </c>
      <c r="K296" s="45" t="s">
        <v>814</v>
      </c>
    </row>
    <row r="297" spans="1:11" ht="15" customHeight="1">
      <c r="A297" s="45" t="s">
        <v>450</v>
      </c>
      <c r="B297" s="45" t="s">
        <v>951</v>
      </c>
      <c r="C297" s="45" t="s">
        <v>451</v>
      </c>
      <c r="D297" s="45"/>
      <c r="E297" s="45" t="e">
        <f>VLOOKUP(C297,Average!B$2:D$56,3,FALSE)</f>
        <v>#N/A</v>
      </c>
      <c r="F297" s="45"/>
      <c r="G297" s="45"/>
      <c r="H297" s="45"/>
      <c r="I297" s="45"/>
      <c r="J297" s="44"/>
      <c r="K297" s="46" t="s">
        <v>452</v>
      </c>
    </row>
    <row r="298" spans="1:11" ht="15" customHeight="1">
      <c r="A298" s="45" t="s">
        <v>464</v>
      </c>
      <c r="B298" s="45" t="s">
        <v>956</v>
      </c>
      <c r="C298" s="45" t="s">
        <v>465</v>
      </c>
      <c r="D298" s="45"/>
      <c r="E298" s="45" t="e">
        <f>VLOOKUP(C298,Average!B$2:D$56,3,FALSE)</f>
        <v>#N/A</v>
      </c>
      <c r="F298" s="45"/>
      <c r="G298" s="45"/>
      <c r="H298" s="45"/>
      <c r="I298" s="45"/>
      <c r="J298" s="44" t="s">
        <v>466</v>
      </c>
      <c r="K298" s="45"/>
    </row>
    <row r="299" spans="1:11" ht="15" customHeight="1">
      <c r="A299" s="45" t="s">
        <v>476</v>
      </c>
      <c r="B299" s="45" t="s">
        <v>962</v>
      </c>
      <c r="C299" s="45" t="s">
        <v>477</v>
      </c>
      <c r="D299" s="45"/>
      <c r="E299" s="45" t="e">
        <f>VLOOKUP(C299,Average!B$2:D$56,3,FALSE)</f>
        <v>#N/A</v>
      </c>
      <c r="F299" s="45"/>
      <c r="G299" s="45"/>
      <c r="H299" s="45"/>
      <c r="I299" s="45"/>
      <c r="J299" s="44"/>
      <c r="K299" s="46" t="s">
        <v>478</v>
      </c>
    </row>
    <row r="300" spans="1:11" ht="15" customHeight="1">
      <c r="A300" s="45" t="s">
        <v>846</v>
      </c>
      <c r="B300" s="45" t="s">
        <v>963</v>
      </c>
      <c r="C300" s="45" t="s">
        <v>847</v>
      </c>
      <c r="D300" s="45"/>
      <c r="E300" s="45" t="e">
        <f>VLOOKUP(C300,Average!B$2:D$56,3,FALSE)</f>
        <v>#N/A</v>
      </c>
      <c r="F300" s="45"/>
      <c r="G300" s="45"/>
      <c r="H300" s="45"/>
      <c r="I300" s="45"/>
      <c r="J300" s="44"/>
      <c r="K300" s="45" t="s">
        <v>479</v>
      </c>
    </row>
    <row r="301" spans="1:11" ht="15" customHeight="1">
      <c r="A301" s="45" t="s">
        <v>520</v>
      </c>
      <c r="B301" s="45" t="s">
        <v>979</v>
      </c>
      <c r="C301" s="45" t="s">
        <v>521</v>
      </c>
      <c r="D301" s="45"/>
      <c r="E301" s="45" t="e">
        <f>VLOOKUP(C301,Average!B$2:D$56,3,FALSE)</f>
        <v>#N/A</v>
      </c>
      <c r="F301" s="45"/>
      <c r="G301" s="45"/>
      <c r="H301" s="45"/>
      <c r="I301" s="45"/>
      <c r="J301" s="45"/>
      <c r="K301" s="46" t="s">
        <v>522</v>
      </c>
    </row>
    <row r="302" spans="1:11" ht="15" customHeight="1">
      <c r="A302" s="45" t="s">
        <v>520</v>
      </c>
      <c r="B302" s="45" t="s">
        <v>979</v>
      </c>
      <c r="C302" s="45" t="s">
        <v>521</v>
      </c>
      <c r="D302" s="45"/>
      <c r="E302" s="45" t="e">
        <f>VLOOKUP(C302,Average!B$2:D$56,3,FALSE)</f>
        <v>#N/A</v>
      </c>
      <c r="F302" s="45"/>
      <c r="G302" s="45"/>
      <c r="H302" s="45"/>
      <c r="I302" s="45"/>
      <c r="J302" s="44">
        <v>7</v>
      </c>
      <c r="K302" s="46" t="s">
        <v>278</v>
      </c>
    </row>
    <row r="303" spans="1:11" ht="15" customHeight="1">
      <c r="A303" s="45" t="s">
        <v>520</v>
      </c>
      <c r="B303" s="45" t="s">
        <v>979</v>
      </c>
      <c r="C303" s="45" t="s">
        <v>521</v>
      </c>
      <c r="D303" s="45"/>
      <c r="E303" s="45" t="e">
        <f>VLOOKUP(C303,Average!B$2:D$56,3,FALSE)</f>
        <v>#N/A</v>
      </c>
      <c r="F303" s="45"/>
      <c r="G303" s="45"/>
      <c r="H303" s="45"/>
      <c r="I303" s="45"/>
      <c r="J303" s="44"/>
      <c r="K303" s="46" t="s">
        <v>523</v>
      </c>
    </row>
    <row r="304" spans="1:11" ht="15" customHeight="1">
      <c r="A304" s="45" t="s">
        <v>559</v>
      </c>
      <c r="B304" s="45" t="s">
        <v>991</v>
      </c>
      <c r="C304" s="45" t="s">
        <v>560</v>
      </c>
      <c r="D304" s="45"/>
      <c r="E304" s="45" t="e">
        <f>VLOOKUP(C304,Average!B$2:D$56,3,FALSE)</f>
        <v>#N/A</v>
      </c>
      <c r="F304" s="45"/>
      <c r="G304" s="45"/>
      <c r="H304" s="45"/>
      <c r="I304" s="45"/>
      <c r="J304" s="44">
        <v>8</v>
      </c>
      <c r="K304" s="46" t="s">
        <v>561</v>
      </c>
    </row>
    <row r="305" spans="1:11" ht="15" customHeight="1">
      <c r="A305" s="45" t="s">
        <v>559</v>
      </c>
      <c r="B305" s="45" t="s">
        <v>991</v>
      </c>
      <c r="C305" s="45" t="s">
        <v>560</v>
      </c>
      <c r="D305" s="45"/>
      <c r="E305" s="45" t="e">
        <f>VLOOKUP(C305,Average!B$2:D$56,3,FALSE)</f>
        <v>#N/A</v>
      </c>
      <c r="F305" s="45"/>
      <c r="G305" s="45"/>
      <c r="H305" s="45"/>
      <c r="I305" s="45"/>
      <c r="J305" s="45"/>
      <c r="K305" s="46" t="s">
        <v>562</v>
      </c>
    </row>
    <row r="306" spans="1:11" ht="15" customHeight="1">
      <c r="A306" s="45" t="s">
        <v>559</v>
      </c>
      <c r="B306" s="45" t="s">
        <v>991</v>
      </c>
      <c r="C306" s="45" t="s">
        <v>560</v>
      </c>
      <c r="D306" s="45"/>
      <c r="E306" s="45" t="e">
        <f>VLOOKUP(C306,Average!B$2:D$56,3,FALSE)</f>
        <v>#N/A</v>
      </c>
      <c r="F306" s="45"/>
      <c r="G306" s="45"/>
      <c r="H306" s="45"/>
      <c r="I306" s="45"/>
      <c r="J306" s="44"/>
      <c r="K306" s="46" t="s">
        <v>563</v>
      </c>
    </row>
    <row r="307" spans="1:11" ht="15" customHeight="1">
      <c r="A307" s="45" t="s">
        <v>559</v>
      </c>
      <c r="B307" s="45" t="s">
        <v>991</v>
      </c>
      <c r="C307" s="45" t="s">
        <v>560</v>
      </c>
      <c r="D307" s="45"/>
      <c r="E307" s="45" t="e">
        <f>VLOOKUP(C307,Average!B$2:D$56,3,FALSE)</f>
        <v>#N/A</v>
      </c>
      <c r="F307" s="45"/>
      <c r="G307" s="45"/>
      <c r="H307" s="45"/>
      <c r="I307" s="45"/>
      <c r="J307" s="44">
        <v>19</v>
      </c>
      <c r="K307" s="46" t="s">
        <v>286</v>
      </c>
    </row>
    <row r="308" spans="1:11" ht="15" customHeight="1">
      <c r="A308" s="45" t="s">
        <v>559</v>
      </c>
      <c r="B308" s="45" t="s">
        <v>991</v>
      </c>
      <c r="C308" s="45" t="s">
        <v>560</v>
      </c>
      <c r="D308" s="45"/>
      <c r="E308" s="45" t="e">
        <f>VLOOKUP(C308,Average!B$2:D$56,3,FALSE)</f>
        <v>#N/A</v>
      </c>
      <c r="F308" s="45"/>
      <c r="G308" s="45"/>
      <c r="H308" s="45"/>
      <c r="I308" s="45"/>
      <c r="J308" s="44">
        <v>2</v>
      </c>
      <c r="K308" s="46" t="s">
        <v>288</v>
      </c>
    </row>
    <row r="309" spans="1:11" ht="15" customHeight="1">
      <c r="A309" s="45" t="s">
        <v>559</v>
      </c>
      <c r="B309" s="45" t="s">
        <v>991</v>
      </c>
      <c r="C309" s="45" t="s">
        <v>560</v>
      </c>
      <c r="D309" s="45"/>
      <c r="E309" s="45" t="e">
        <f>VLOOKUP(C309,Average!B$2:D$56,3,FALSE)</f>
        <v>#N/A</v>
      </c>
      <c r="F309" s="45"/>
      <c r="G309" s="45"/>
      <c r="H309" s="45"/>
      <c r="I309" s="45"/>
      <c r="J309" s="44"/>
      <c r="K309" s="46" t="s">
        <v>566</v>
      </c>
    </row>
    <row r="310" spans="1:11" ht="15" customHeight="1">
      <c r="A310" s="45" t="s">
        <v>564</v>
      </c>
      <c r="B310" s="45" t="s">
        <v>992</v>
      </c>
      <c r="C310" s="45" t="s">
        <v>565</v>
      </c>
      <c r="D310" s="45"/>
      <c r="E310" s="45" t="e">
        <f>VLOOKUP(C310,Average!B$2:D$56,3,FALSE)</f>
        <v>#N/A</v>
      </c>
      <c r="F310" s="45"/>
      <c r="G310" s="45"/>
      <c r="H310" s="45"/>
      <c r="I310" s="45"/>
      <c r="J310" s="44">
        <v>1</v>
      </c>
      <c r="K310" s="46" t="s">
        <v>433</v>
      </c>
    </row>
    <row r="311" spans="1:11" ht="15" customHeight="1">
      <c r="A311" s="45" t="s">
        <v>567</v>
      </c>
      <c r="B311" s="45" t="s">
        <v>993</v>
      </c>
      <c r="C311" s="45" t="s">
        <v>568</v>
      </c>
      <c r="D311" s="45"/>
      <c r="E311" s="45" t="e">
        <f>VLOOKUP(C311,Average!B$2:D$56,3,FALSE)</f>
        <v>#N/A</v>
      </c>
      <c r="F311" s="45"/>
      <c r="G311" s="45"/>
      <c r="H311" s="45"/>
      <c r="I311" s="45"/>
      <c r="J311" s="44" t="s">
        <v>569</v>
      </c>
      <c r="K311" s="46" t="s">
        <v>285</v>
      </c>
    </row>
    <row r="312" spans="1:11" ht="15" customHeight="1">
      <c r="A312" s="45" t="s">
        <v>856</v>
      </c>
      <c r="B312" s="45" t="s">
        <v>1001</v>
      </c>
      <c r="C312" s="45" t="s">
        <v>857</v>
      </c>
      <c r="D312" s="45"/>
      <c r="E312" s="45" t="e">
        <f>VLOOKUP(C312,Average!B$2:D$56,3,FALSE)</f>
        <v>#N/A</v>
      </c>
      <c r="F312" s="45"/>
      <c r="G312" s="45"/>
      <c r="H312" s="45"/>
      <c r="I312" s="45"/>
      <c r="J312" s="44">
        <v>36</v>
      </c>
      <c r="K312" s="46" t="s">
        <v>363</v>
      </c>
    </row>
    <row r="313" spans="1:11" ht="15" customHeight="1">
      <c r="A313" s="45" t="s">
        <v>583</v>
      </c>
      <c r="B313" s="45" t="s">
        <v>999</v>
      </c>
      <c r="C313" s="45" t="s">
        <v>584</v>
      </c>
      <c r="D313" s="45"/>
      <c r="E313" s="45" t="e">
        <f>VLOOKUP(C313,Average!B$2:D$56,3,FALSE)</f>
        <v>#N/A</v>
      </c>
      <c r="F313" s="45"/>
      <c r="G313" s="45"/>
      <c r="H313" s="45"/>
      <c r="I313" s="45"/>
      <c r="J313" s="45"/>
      <c r="K313" s="45" t="s">
        <v>585</v>
      </c>
    </row>
    <row r="314" spans="1:11" ht="15" customHeight="1">
      <c r="A314" s="45" t="s">
        <v>586</v>
      </c>
      <c r="B314" s="45" t="s">
        <v>1000</v>
      </c>
      <c r="C314" s="45" t="s">
        <v>587</v>
      </c>
      <c r="D314" s="45"/>
      <c r="E314" s="45" t="e">
        <f>VLOOKUP(C314,Average!B$2:D$56,3,FALSE)</f>
        <v>#N/A</v>
      </c>
      <c r="F314" s="45"/>
      <c r="G314" s="45"/>
      <c r="H314" s="45"/>
      <c r="I314" s="45"/>
      <c r="J314" s="42"/>
      <c r="K314" s="46" t="s">
        <v>588</v>
      </c>
    </row>
    <row r="315" spans="1:11" ht="15" customHeight="1">
      <c r="A315" s="45" t="s">
        <v>589</v>
      </c>
      <c r="B315" s="45" t="s">
        <v>1002</v>
      </c>
      <c r="C315" s="45" t="s">
        <v>590</v>
      </c>
      <c r="D315" s="45"/>
      <c r="E315" s="45" t="e">
        <f>VLOOKUP(C315,Average!B$2:D$56,3,FALSE)</f>
        <v>#N/A</v>
      </c>
      <c r="F315" s="45"/>
      <c r="G315" s="45"/>
      <c r="H315" s="45"/>
      <c r="I315" s="45"/>
      <c r="J315" s="44">
        <v>2</v>
      </c>
      <c r="K315" s="46" t="s">
        <v>591</v>
      </c>
    </row>
    <row r="316" spans="1:11" ht="15" customHeight="1">
      <c r="A316" s="45" t="s">
        <v>592</v>
      </c>
      <c r="B316" s="45" t="s">
        <v>1003</v>
      </c>
      <c r="C316" s="45" t="s">
        <v>593</v>
      </c>
      <c r="D316" s="45"/>
      <c r="E316" s="45" t="e">
        <f>VLOOKUP(C316,Average!B$2:D$56,3,FALSE)</f>
        <v>#N/A</v>
      </c>
      <c r="F316" s="45"/>
      <c r="G316" s="45"/>
      <c r="H316" s="45"/>
      <c r="I316" s="45"/>
      <c r="J316" s="44" t="s">
        <v>414</v>
      </c>
      <c r="K316" s="46" t="s">
        <v>594</v>
      </c>
    </row>
    <row r="317" spans="1:11" ht="15" customHeight="1">
      <c r="A317" s="45" t="s">
        <v>592</v>
      </c>
      <c r="B317" s="45" t="s">
        <v>1003</v>
      </c>
      <c r="C317" s="45" t="s">
        <v>593</v>
      </c>
      <c r="D317" s="45"/>
      <c r="E317" s="45" t="e">
        <f>VLOOKUP(C317,Average!B$2:D$56,3,FALSE)</f>
        <v>#N/A</v>
      </c>
      <c r="F317" s="45"/>
      <c r="G317" s="45"/>
      <c r="H317" s="45"/>
      <c r="I317" s="45"/>
      <c r="J317" s="45"/>
      <c r="K317" s="46" t="s">
        <v>595</v>
      </c>
    </row>
    <row r="318" spans="1:11" ht="15" customHeight="1">
      <c r="A318" s="45" t="s">
        <v>592</v>
      </c>
      <c r="B318" s="45" t="s">
        <v>1003</v>
      </c>
      <c r="C318" s="45" t="s">
        <v>593</v>
      </c>
      <c r="D318" s="45"/>
      <c r="E318" s="45" t="e">
        <f>VLOOKUP(C318,Average!B$2:D$56,3,FALSE)</f>
        <v>#N/A</v>
      </c>
      <c r="F318" s="45"/>
      <c r="G318" s="45"/>
      <c r="H318" s="45"/>
      <c r="I318" s="45"/>
      <c r="J318" s="45"/>
      <c r="K318" s="46" t="s">
        <v>596</v>
      </c>
    </row>
    <row r="319" spans="1:11" ht="15" customHeight="1">
      <c r="A319" s="45" t="s">
        <v>592</v>
      </c>
      <c r="B319" s="45" t="s">
        <v>1003</v>
      </c>
      <c r="C319" s="45" t="s">
        <v>593</v>
      </c>
      <c r="D319" s="45"/>
      <c r="E319" s="45" t="e">
        <f>VLOOKUP(C319,Average!B$2:D$56,3,FALSE)</f>
        <v>#N/A</v>
      </c>
      <c r="F319" s="45"/>
      <c r="G319" s="45"/>
      <c r="H319" s="45"/>
      <c r="I319" s="45"/>
      <c r="J319" s="44">
        <v>12</v>
      </c>
      <c r="K319" s="46" t="s">
        <v>286</v>
      </c>
    </row>
    <row r="320" spans="1:11" ht="15" customHeight="1">
      <c r="A320" s="45" t="s">
        <v>592</v>
      </c>
      <c r="B320" s="45" t="s">
        <v>1003</v>
      </c>
      <c r="C320" s="45" t="s">
        <v>593</v>
      </c>
      <c r="D320" s="45"/>
      <c r="E320" s="45" t="e">
        <f>VLOOKUP(C320,Average!B$2:D$56,3,FALSE)</f>
        <v>#N/A</v>
      </c>
      <c r="F320" s="45"/>
      <c r="G320" s="45"/>
      <c r="H320" s="45"/>
      <c r="I320" s="45"/>
      <c r="J320" s="44" t="s">
        <v>597</v>
      </c>
      <c r="K320" s="46" t="s">
        <v>598</v>
      </c>
    </row>
    <row r="321" spans="1:11" ht="15" customHeight="1">
      <c r="A321" s="45" t="s">
        <v>592</v>
      </c>
      <c r="B321" s="45" t="s">
        <v>1003</v>
      </c>
      <c r="C321" s="45" t="s">
        <v>593</v>
      </c>
      <c r="D321" s="45"/>
      <c r="E321" s="45" t="e">
        <f>VLOOKUP(C321,Average!B$2:D$56,3,FALSE)</f>
        <v>#N/A</v>
      </c>
      <c r="F321" s="45"/>
      <c r="G321" s="45"/>
      <c r="H321" s="45"/>
      <c r="I321" s="45"/>
      <c r="J321" s="45"/>
      <c r="K321" s="46" t="s">
        <v>599</v>
      </c>
    </row>
    <row r="322" spans="1:11" ht="15" customHeight="1">
      <c r="A322" s="45" t="s">
        <v>888</v>
      </c>
      <c r="B322" s="45" t="s">
        <v>1015</v>
      </c>
      <c r="C322" s="45" t="s">
        <v>627</v>
      </c>
      <c r="D322" s="45"/>
      <c r="E322" s="45" t="e">
        <f>VLOOKUP(C322,Average!B$2:D$56,3,FALSE)</f>
        <v>#N/A</v>
      </c>
      <c r="F322" s="45"/>
      <c r="G322" s="45"/>
      <c r="H322" s="45"/>
      <c r="I322" s="45"/>
      <c r="J322" s="45" t="s">
        <v>881</v>
      </c>
      <c r="K322" s="46" t="s">
        <v>628</v>
      </c>
    </row>
    <row r="323" spans="1:11" ht="15" customHeight="1">
      <c r="A323" s="45" t="s">
        <v>619</v>
      </c>
      <c r="B323" s="45" t="s">
        <v>1012</v>
      </c>
      <c r="C323" s="45" t="s">
        <v>620</v>
      </c>
      <c r="D323" s="45"/>
      <c r="E323" s="45" t="e">
        <f>VLOOKUP(C323,Average!B$2:D$56,3,FALSE)</f>
        <v>#N/A</v>
      </c>
      <c r="F323" s="45"/>
      <c r="G323" s="45"/>
      <c r="H323" s="45"/>
      <c r="I323" s="45"/>
      <c r="J323" s="44"/>
      <c r="K323" s="46" t="s">
        <v>621</v>
      </c>
    </row>
    <row r="324" spans="1:11" ht="15" customHeight="1">
      <c r="A324" s="45" t="s">
        <v>724</v>
      </c>
      <c r="B324" s="45" t="s">
        <v>1053</v>
      </c>
      <c r="C324" s="45" t="s">
        <v>725</v>
      </c>
      <c r="D324" s="45"/>
      <c r="E324" s="45" t="e">
        <f>VLOOKUP(C324,Average!B$2:D$56,3,FALSE)</f>
        <v>#N/A</v>
      </c>
      <c r="F324" s="45"/>
      <c r="G324" s="45"/>
      <c r="H324" s="45"/>
      <c r="I324" s="45"/>
      <c r="J324" s="45"/>
      <c r="K324" s="45" t="s">
        <v>726</v>
      </c>
    </row>
    <row r="325" spans="1:11" ht="15" customHeight="1">
      <c r="A325" s="45" t="s">
        <v>724</v>
      </c>
      <c r="B325" s="45" t="s">
        <v>1053</v>
      </c>
      <c r="C325" s="45" t="s">
        <v>725</v>
      </c>
      <c r="D325" s="45"/>
      <c r="E325" s="45" t="e">
        <f>VLOOKUP(C325,Average!B$2:D$56,3,FALSE)</f>
        <v>#N/A</v>
      </c>
      <c r="F325" s="45"/>
      <c r="G325" s="45"/>
      <c r="H325" s="45"/>
      <c r="I325" s="45"/>
      <c r="J325" s="44"/>
      <c r="K325" s="45" t="s">
        <v>727</v>
      </c>
    </row>
    <row r="326" spans="1:11" ht="15" customHeight="1">
      <c r="A326" s="45" t="s">
        <v>728</v>
      </c>
      <c r="B326" s="45" t="s">
        <v>1054</v>
      </c>
      <c r="C326" s="45" t="s">
        <v>729</v>
      </c>
      <c r="D326" s="45"/>
      <c r="E326" s="45" t="e">
        <f>VLOOKUP(C326,Average!B$2:D$56,3,FALSE)</f>
        <v>#N/A</v>
      </c>
      <c r="F326" s="45"/>
      <c r="G326" s="45"/>
      <c r="H326" s="45"/>
      <c r="I326" s="45"/>
      <c r="J326" s="44" t="s">
        <v>730</v>
      </c>
      <c r="K326" s="45" t="s">
        <v>731</v>
      </c>
    </row>
    <row r="327" spans="1:11" ht="15" customHeight="1">
      <c r="A327" s="45" t="s">
        <v>735</v>
      </c>
      <c r="B327" s="45" t="s">
        <v>1056</v>
      </c>
      <c r="C327" s="45" t="s">
        <v>736</v>
      </c>
      <c r="D327" s="45"/>
      <c r="E327" s="45" t="e">
        <f>VLOOKUP(C327,Average!B$2:D$56,3,FALSE)</f>
        <v>#N/A</v>
      </c>
      <c r="F327" s="45"/>
      <c r="G327" s="45"/>
      <c r="H327" s="45"/>
      <c r="I327" s="45"/>
      <c r="J327" s="44"/>
      <c r="K327" s="46" t="s">
        <v>737</v>
      </c>
    </row>
    <row r="328" spans="1:11" ht="15" customHeight="1">
      <c r="A328" s="45" t="s">
        <v>732</v>
      </c>
      <c r="B328" s="45" t="s">
        <v>1055</v>
      </c>
      <c r="C328" s="45" t="s">
        <v>733</v>
      </c>
      <c r="D328" s="45"/>
      <c r="E328" s="45" t="e">
        <f>VLOOKUP(C328,Average!B$2:D$56,3,FALSE)</f>
        <v>#N/A</v>
      </c>
      <c r="F328" s="45"/>
      <c r="G328" s="45"/>
      <c r="H328" s="45"/>
      <c r="I328" s="45"/>
      <c r="J328" s="44">
        <v>2</v>
      </c>
      <c r="K328" s="46" t="s">
        <v>734</v>
      </c>
    </row>
    <row r="329" spans="1:11" ht="15" customHeight="1">
      <c r="A329" s="45" t="s">
        <v>893</v>
      </c>
      <c r="B329" s="45" t="s">
        <v>1078</v>
      </c>
      <c r="C329" s="45" t="s">
        <v>817</v>
      </c>
      <c r="D329" s="45"/>
      <c r="E329" s="45" t="e">
        <f>VLOOKUP(C329,Average!B$2:D$56,3,FALSE)</f>
        <v>#N/A</v>
      </c>
      <c r="F329" s="45"/>
      <c r="G329" s="45"/>
      <c r="H329" s="45"/>
      <c r="I329" s="45"/>
      <c r="J329" s="45"/>
      <c r="K329" s="46" t="s">
        <v>818</v>
      </c>
    </row>
    <row r="330" spans="1:11" ht="15" customHeight="1">
      <c r="A330" s="45" t="s">
        <v>893</v>
      </c>
      <c r="B330" s="45" t="s">
        <v>1078</v>
      </c>
      <c r="C330" s="45" t="s">
        <v>817</v>
      </c>
      <c r="D330" s="45"/>
      <c r="E330" s="45" t="e">
        <f>VLOOKUP(C330,Average!B$2:D$56,3,FALSE)</f>
        <v>#N/A</v>
      </c>
      <c r="F330" s="45"/>
      <c r="G330" s="45"/>
      <c r="H330" s="45"/>
      <c r="I330" s="45"/>
      <c r="J330" s="45"/>
      <c r="K330" s="46" t="s">
        <v>819</v>
      </c>
    </row>
    <row r="331" spans="1:11" ht="15" customHeight="1">
      <c r="A331" s="45" t="s">
        <v>893</v>
      </c>
      <c r="B331" s="45" t="s">
        <v>1078</v>
      </c>
      <c r="C331" s="45" t="s">
        <v>817</v>
      </c>
      <c r="D331" s="45"/>
      <c r="E331" s="45" t="e">
        <f>VLOOKUP(C331,Average!B$2:D$56,3,FALSE)</f>
        <v>#N/A</v>
      </c>
      <c r="F331" s="45"/>
      <c r="G331" s="45"/>
      <c r="H331" s="45"/>
      <c r="I331" s="45"/>
      <c r="J331" s="45"/>
      <c r="K331" s="46" t="s">
        <v>820</v>
      </c>
    </row>
    <row r="332" spans="1:11" ht="15" customHeight="1">
      <c r="A332" s="45" t="s">
        <v>893</v>
      </c>
      <c r="B332" s="45" t="s">
        <v>1078</v>
      </c>
      <c r="C332" s="45" t="s">
        <v>817</v>
      </c>
      <c r="D332" s="45"/>
      <c r="E332" s="45" t="e">
        <f>VLOOKUP(C332,Average!B$2:D$56,3,FALSE)</f>
        <v>#N/A</v>
      </c>
      <c r="F332" s="45"/>
      <c r="G332" s="45"/>
      <c r="H332" s="45"/>
      <c r="I332" s="45"/>
      <c r="J332" s="45" t="s">
        <v>353</v>
      </c>
      <c r="K332" s="45" t="s">
        <v>869</v>
      </c>
    </row>
    <row r="333" spans="1:11" ht="15" customHeight="1">
      <c r="A333" s="45" t="s">
        <v>893</v>
      </c>
      <c r="B333" s="45" t="s">
        <v>1078</v>
      </c>
      <c r="C333" s="45" t="s">
        <v>817</v>
      </c>
      <c r="D333" s="45"/>
      <c r="E333" s="45" t="e">
        <f>VLOOKUP(C333,Average!B$2:D$56,3,FALSE)</f>
        <v>#N/A</v>
      </c>
      <c r="F333" s="45"/>
      <c r="G333" s="45"/>
      <c r="H333" s="45"/>
      <c r="I333" s="45"/>
      <c r="J333" s="45"/>
      <c r="K333" s="46" t="s">
        <v>823</v>
      </c>
    </row>
    <row r="334" spans="1:11" ht="15" customHeight="1">
      <c r="A334" s="45" t="s">
        <v>894</v>
      </c>
      <c r="B334" s="45" t="s">
        <v>1079</v>
      </c>
      <c r="C334" s="45" t="s">
        <v>821</v>
      </c>
      <c r="D334" s="45"/>
      <c r="E334" s="45" t="e">
        <f>VLOOKUP(C334,Average!B$2:D$56,3,FALSE)</f>
        <v>#N/A</v>
      </c>
      <c r="F334" s="45"/>
      <c r="G334" s="45"/>
      <c r="H334" s="45"/>
      <c r="I334" s="45"/>
      <c r="J334" s="45">
        <v>3</v>
      </c>
      <c r="K334" s="46" t="s">
        <v>822</v>
      </c>
    </row>
    <row r="335" spans="1:11" ht="15" customHeight="1">
      <c r="A335" s="45" t="s">
        <v>260</v>
      </c>
      <c r="B335" s="45" t="s">
        <v>903</v>
      </c>
      <c r="C335" s="45" t="s">
        <v>261</v>
      </c>
      <c r="D335" s="45"/>
      <c r="E335" s="45" t="e">
        <f>VLOOKUP(C335,Average!B$2:D$56,3,FALSE)</f>
        <v>#N/A</v>
      </c>
      <c r="F335" s="45"/>
      <c r="G335" s="45"/>
      <c r="H335" s="45"/>
      <c r="I335" s="45"/>
      <c r="J335" s="44"/>
      <c r="K335" s="46" t="s">
        <v>262</v>
      </c>
    </row>
    <row r="336" spans="1:11" ht="15" customHeight="1">
      <c r="A336" s="45" t="s">
        <v>263</v>
      </c>
      <c r="B336" s="45" t="s">
        <v>904</v>
      </c>
      <c r="C336" s="45" t="s">
        <v>264</v>
      </c>
      <c r="D336" s="45"/>
      <c r="E336" s="45" t="e">
        <f>VLOOKUP(C336,Average!B$2:D$56,3,FALSE)</f>
        <v>#N/A</v>
      </c>
      <c r="F336" s="45"/>
      <c r="G336" s="45"/>
      <c r="H336" s="45"/>
      <c r="I336" s="45"/>
      <c r="J336" s="45"/>
      <c r="K336" s="46" t="s">
        <v>265</v>
      </c>
    </row>
    <row r="337" spans="1:11" ht="15" customHeight="1">
      <c r="A337" s="45" t="s">
        <v>263</v>
      </c>
      <c r="B337" s="45" t="s">
        <v>904</v>
      </c>
      <c r="C337" s="45" t="s">
        <v>264</v>
      </c>
      <c r="D337" s="45"/>
      <c r="E337" s="45" t="e">
        <f>VLOOKUP(C337,Average!B$2:D$56,3,FALSE)</f>
        <v>#N/A</v>
      </c>
      <c r="F337" s="45"/>
      <c r="G337" s="45"/>
      <c r="H337" s="45"/>
      <c r="I337" s="45"/>
      <c r="J337" s="45"/>
      <c r="K337" s="46" t="s">
        <v>266</v>
      </c>
    </row>
    <row r="338" spans="1:11" ht="15" customHeight="1">
      <c r="A338" s="45" t="s">
        <v>263</v>
      </c>
      <c r="B338" s="45" t="s">
        <v>904</v>
      </c>
      <c r="C338" s="45" t="s">
        <v>264</v>
      </c>
      <c r="D338" s="45"/>
      <c r="E338" s="45" t="e">
        <f>VLOOKUP(C338,Average!B$2:D$56,3,FALSE)</f>
        <v>#N/A</v>
      </c>
      <c r="F338" s="45"/>
      <c r="G338" s="45"/>
      <c r="H338" s="45"/>
      <c r="I338" s="45"/>
      <c r="J338" s="45"/>
      <c r="K338" s="46" t="s">
        <v>267</v>
      </c>
    </row>
    <row r="339" spans="1:11" ht="15" customHeight="1">
      <c r="A339" s="45" t="s">
        <v>263</v>
      </c>
      <c r="B339" s="45" t="s">
        <v>904</v>
      </c>
      <c r="C339" s="45" t="s">
        <v>264</v>
      </c>
      <c r="D339" s="45"/>
      <c r="E339" s="45" t="e">
        <f>VLOOKUP(C339,Average!B$2:D$56,3,FALSE)</f>
        <v>#N/A</v>
      </c>
      <c r="F339" s="45"/>
      <c r="G339" s="45"/>
      <c r="H339" s="45"/>
      <c r="I339" s="45"/>
      <c r="J339" s="42"/>
      <c r="K339" s="46" t="s">
        <v>268</v>
      </c>
    </row>
    <row r="340" spans="1:11" ht="15" customHeight="1">
      <c r="A340" s="45" t="s">
        <v>263</v>
      </c>
      <c r="B340" s="45" t="s">
        <v>904</v>
      </c>
      <c r="C340" s="45" t="s">
        <v>264</v>
      </c>
      <c r="D340" s="45"/>
      <c r="E340" s="45" t="e">
        <f>VLOOKUP(C340,Average!B$2:D$56,3,FALSE)</f>
        <v>#N/A</v>
      </c>
      <c r="F340" s="45"/>
      <c r="G340" s="45"/>
      <c r="H340" s="45"/>
      <c r="I340" s="45"/>
      <c r="J340" s="44">
        <v>9</v>
      </c>
      <c r="K340" s="46" t="s">
        <v>269</v>
      </c>
    </row>
    <row r="341" spans="1:11" ht="15" customHeight="1">
      <c r="A341" s="45" t="s">
        <v>263</v>
      </c>
      <c r="B341" s="45" t="s">
        <v>904</v>
      </c>
      <c r="C341" s="45" t="s">
        <v>264</v>
      </c>
      <c r="D341" s="45"/>
      <c r="E341" s="45" t="e">
        <f>VLOOKUP(C341,Average!B$2:D$56,3,FALSE)</f>
        <v>#N/A</v>
      </c>
      <c r="F341" s="45"/>
      <c r="G341" s="45"/>
      <c r="H341" s="45"/>
      <c r="I341" s="45"/>
      <c r="J341" s="43"/>
      <c r="K341" s="46" t="s">
        <v>270</v>
      </c>
    </row>
    <row r="342" spans="1:11" ht="15" customHeight="1">
      <c r="A342" s="45" t="s">
        <v>884</v>
      </c>
      <c r="B342" s="45" t="s">
        <v>930</v>
      </c>
      <c r="C342" s="45" t="s">
        <v>388</v>
      </c>
      <c r="D342" s="45"/>
      <c r="E342" s="45" t="e">
        <f>VLOOKUP(C342,Average!B$2:D$56,3,FALSE)</f>
        <v>#N/A</v>
      </c>
      <c r="F342" s="45"/>
      <c r="G342" s="45"/>
      <c r="H342" s="45"/>
      <c r="I342" s="45"/>
      <c r="J342" s="45" t="s">
        <v>281</v>
      </c>
      <c r="K342" s="46" t="s">
        <v>389</v>
      </c>
    </row>
    <row r="343" spans="1:11" ht="15" customHeight="1">
      <c r="A343" s="45" t="s">
        <v>392</v>
      </c>
      <c r="B343" s="45" t="s">
        <v>932</v>
      </c>
      <c r="C343" s="45" t="s">
        <v>393</v>
      </c>
      <c r="D343" s="45"/>
      <c r="E343" s="45" t="e">
        <f>VLOOKUP(C343,Average!B$2:D$56,3,FALSE)</f>
        <v>#N/A</v>
      </c>
      <c r="F343" s="45"/>
      <c r="G343" s="45"/>
      <c r="H343" s="45"/>
      <c r="I343" s="45"/>
      <c r="J343" s="43" t="s">
        <v>281</v>
      </c>
      <c r="K343" s="46" t="s">
        <v>283</v>
      </c>
    </row>
    <row r="344" spans="1:11" ht="15" customHeight="1">
      <c r="A344" s="45" t="s">
        <v>840</v>
      </c>
      <c r="B344" s="45" t="s">
        <v>958</v>
      </c>
      <c r="C344" s="45" t="s">
        <v>841</v>
      </c>
      <c r="D344" s="45"/>
      <c r="E344" s="45" t="e">
        <f>VLOOKUP(C344,Average!B$2:D$56,3,FALSE)</f>
        <v>#N/A</v>
      </c>
      <c r="F344" s="45"/>
      <c r="G344" s="45"/>
      <c r="H344" s="45"/>
      <c r="I344" s="45"/>
      <c r="J344" s="44">
        <v>18</v>
      </c>
      <c r="K344" s="46" t="s">
        <v>463</v>
      </c>
    </row>
    <row r="345" spans="1:11" ht="15" customHeight="1">
      <c r="A345" s="45" t="s">
        <v>838</v>
      </c>
      <c r="B345" s="45" t="s">
        <v>957</v>
      </c>
      <c r="C345" s="45" t="s">
        <v>839</v>
      </c>
      <c r="D345" s="45"/>
      <c r="E345" s="45" t="e">
        <f>VLOOKUP(C345,Average!B$2:D$56,3,FALSE)</f>
        <v>#N/A</v>
      </c>
      <c r="F345" s="45"/>
      <c r="G345" s="45"/>
      <c r="H345" s="45"/>
      <c r="I345" s="45"/>
      <c r="J345" s="45"/>
      <c r="K345" s="46" t="s">
        <v>467</v>
      </c>
    </row>
    <row r="346" spans="1:11" ht="15" customHeight="1">
      <c r="A346" s="45" t="s">
        <v>842</v>
      </c>
      <c r="B346" s="45" t="s">
        <v>959</v>
      </c>
      <c r="C346" s="45" t="s">
        <v>843</v>
      </c>
      <c r="D346" s="45"/>
      <c r="E346" s="45" t="e">
        <f>VLOOKUP(C346,Average!B$2:D$56,3,FALSE)</f>
        <v>#N/A</v>
      </c>
      <c r="F346" s="45"/>
      <c r="G346" s="45"/>
      <c r="H346" s="45"/>
      <c r="I346" s="45"/>
      <c r="J346" s="44">
        <v>1</v>
      </c>
      <c r="K346" s="46" t="s">
        <v>407</v>
      </c>
    </row>
    <row r="347" spans="1:11" ht="15" customHeight="1">
      <c r="A347" s="45" t="s">
        <v>842</v>
      </c>
      <c r="B347" s="45" t="s">
        <v>959</v>
      </c>
      <c r="C347" s="45" t="s">
        <v>843</v>
      </c>
      <c r="D347" s="45"/>
      <c r="E347" s="45" t="e">
        <f>VLOOKUP(C347,Average!B$2:D$56,3,FALSE)</f>
        <v>#N/A</v>
      </c>
      <c r="F347" s="45"/>
      <c r="G347" s="45"/>
      <c r="H347" s="45"/>
      <c r="I347" s="45"/>
      <c r="J347" s="44">
        <v>15</v>
      </c>
      <c r="K347" s="46" t="s">
        <v>463</v>
      </c>
    </row>
    <row r="348" spans="1:11" ht="15" customHeight="1">
      <c r="A348" s="45" t="s">
        <v>842</v>
      </c>
      <c r="B348" s="45" t="s">
        <v>959</v>
      </c>
      <c r="C348" s="45" t="s">
        <v>843</v>
      </c>
      <c r="D348" s="45"/>
      <c r="E348" s="45" t="e">
        <f>VLOOKUP(C348,Average!B$2:D$56,3,FALSE)</f>
        <v>#N/A</v>
      </c>
      <c r="F348" s="45"/>
      <c r="G348" s="45"/>
      <c r="H348" s="45"/>
      <c r="I348" s="45"/>
      <c r="J348" s="44"/>
      <c r="K348" s="46" t="s">
        <v>468</v>
      </c>
    </row>
    <row r="349" spans="1:11" ht="15" customHeight="1">
      <c r="A349" s="45" t="s">
        <v>547</v>
      </c>
      <c r="B349" s="45" t="s">
        <v>987</v>
      </c>
      <c r="C349" s="52" t="s">
        <v>548</v>
      </c>
      <c r="D349" s="45"/>
      <c r="E349" s="45" t="e">
        <f>VLOOKUP(C349,Average!B$2:D$56,3,FALSE)</f>
        <v>#N/A</v>
      </c>
      <c r="F349" s="45"/>
      <c r="G349" s="45"/>
      <c r="H349" s="45"/>
      <c r="I349" s="45"/>
      <c r="J349" s="49" t="s">
        <v>549</v>
      </c>
      <c r="K349" s="46" t="s">
        <v>288</v>
      </c>
    </row>
    <row r="350" spans="1:11" ht="15" customHeight="1">
      <c r="A350" s="45" t="s">
        <v>550</v>
      </c>
      <c r="B350" s="45" t="s">
        <v>988</v>
      </c>
      <c r="C350" s="52" t="s">
        <v>551</v>
      </c>
      <c r="D350" s="45"/>
      <c r="E350" s="45" t="e">
        <f>VLOOKUP(C350,Average!B$2:D$56,3,FALSE)</f>
        <v>#N/A</v>
      </c>
      <c r="F350" s="45"/>
      <c r="G350" s="45"/>
      <c r="H350" s="45"/>
      <c r="I350" s="45"/>
      <c r="J350" s="44" t="s">
        <v>552</v>
      </c>
      <c r="K350" s="45" t="s">
        <v>553</v>
      </c>
    </row>
    <row r="351" spans="1:11" ht="15" customHeight="1">
      <c r="A351" s="45" t="s">
        <v>745</v>
      </c>
      <c r="B351" s="45" t="s">
        <v>1059</v>
      </c>
      <c r="C351" s="45" t="s">
        <v>746</v>
      </c>
      <c r="D351" s="45"/>
      <c r="E351" s="45" t="e">
        <f>VLOOKUP(C351,Average!B$2:D$56,3,FALSE)</f>
        <v>#N/A</v>
      </c>
      <c r="F351" s="45"/>
      <c r="G351" s="45"/>
      <c r="H351" s="45"/>
      <c r="I351" s="45"/>
      <c r="J351" s="44" t="s">
        <v>890</v>
      </c>
      <c r="K351" s="46" t="s">
        <v>278</v>
      </c>
    </row>
    <row r="352" spans="1:11" ht="15" customHeight="1">
      <c r="A352" s="45" t="s">
        <v>745</v>
      </c>
      <c r="B352" s="45" t="s">
        <v>1059</v>
      </c>
      <c r="C352" s="45" t="s">
        <v>746</v>
      </c>
      <c r="D352" s="45"/>
      <c r="E352" s="45" t="e">
        <f>VLOOKUP(C352,Average!B$2:D$56,3,FALSE)</f>
        <v>#N/A</v>
      </c>
      <c r="F352" s="45"/>
      <c r="G352" s="45"/>
      <c r="H352" s="45"/>
      <c r="I352" s="45"/>
      <c r="J352" s="44">
        <v>1</v>
      </c>
      <c r="K352" s="46" t="s">
        <v>639</v>
      </c>
    </row>
    <row r="353" spans="1:11" ht="15" customHeight="1">
      <c r="A353" s="45" t="s">
        <v>747</v>
      </c>
      <c r="B353" s="45" t="s">
        <v>1060</v>
      </c>
      <c r="C353" s="45" t="s">
        <v>748</v>
      </c>
      <c r="D353" s="45"/>
      <c r="E353" s="45" t="e">
        <f>VLOOKUP(C353,Average!B$2:D$56,3,FALSE)</f>
        <v>#N/A</v>
      </c>
      <c r="F353" s="45"/>
      <c r="G353" s="45"/>
      <c r="H353" s="45"/>
      <c r="I353" s="45"/>
      <c r="J353" s="45"/>
      <c r="K353" s="46" t="s">
        <v>749</v>
      </c>
    </row>
    <row r="354" spans="1:11" ht="15" customHeight="1">
      <c r="A354" s="45" t="s">
        <v>747</v>
      </c>
      <c r="B354" s="45" t="s">
        <v>1060</v>
      </c>
      <c r="C354" s="45" t="s">
        <v>748</v>
      </c>
      <c r="D354" s="45"/>
      <c r="E354" s="45" t="e">
        <f>VLOOKUP(C354,Average!B$2:D$56,3,FALSE)</f>
        <v>#N/A</v>
      </c>
      <c r="F354" s="45"/>
      <c r="G354" s="45"/>
      <c r="H354" s="45"/>
      <c r="I354" s="45"/>
      <c r="J354" s="44">
        <v>6</v>
      </c>
      <c r="K354" s="46" t="s">
        <v>319</v>
      </c>
    </row>
    <row r="355" spans="1:11" ht="15" customHeight="1">
      <c r="A355" s="45" t="s">
        <v>763</v>
      </c>
      <c r="B355" s="45" t="s">
        <v>1064</v>
      </c>
      <c r="C355" s="45" t="s">
        <v>764</v>
      </c>
      <c r="D355" s="45"/>
      <c r="E355" s="45" t="e">
        <f>VLOOKUP(C355,Average!B$2:D$56,3,FALSE)</f>
        <v>#N/A</v>
      </c>
      <c r="F355" s="45"/>
      <c r="G355" s="45"/>
      <c r="H355" s="45"/>
      <c r="I355" s="45"/>
      <c r="J355" s="43" t="s">
        <v>281</v>
      </c>
      <c r="K355" s="46" t="s">
        <v>765</v>
      </c>
    </row>
    <row r="356" spans="1:11" ht="15" customHeight="1">
      <c r="A356" s="45" t="s">
        <v>766</v>
      </c>
      <c r="B356" s="45" t="s">
        <v>1065</v>
      </c>
      <c r="C356" s="45" t="s">
        <v>767</v>
      </c>
      <c r="D356" s="45"/>
      <c r="E356" s="45" t="e">
        <f>VLOOKUP(C356,Average!B$2:D$56,3,FALSE)</f>
        <v>#N/A</v>
      </c>
      <c r="F356" s="45"/>
      <c r="G356" s="45"/>
      <c r="H356" s="45"/>
      <c r="I356" s="45"/>
      <c r="J356" s="43"/>
      <c r="K356" s="46" t="s">
        <v>768</v>
      </c>
    </row>
    <row r="357" spans="1:11" ht="15" customHeight="1">
      <c r="A357" s="45" t="s">
        <v>776</v>
      </c>
      <c r="B357" s="45" t="s">
        <v>1068</v>
      </c>
      <c r="C357" s="45" t="s">
        <v>777</v>
      </c>
      <c r="D357" s="45"/>
      <c r="E357" s="45" t="e">
        <f>VLOOKUP(C357,Average!B$2:D$56,3,FALSE)</f>
        <v>#N/A</v>
      </c>
      <c r="F357" s="45"/>
      <c r="G357" s="45"/>
      <c r="H357" s="45"/>
      <c r="I357" s="45"/>
      <c r="J357" s="43"/>
      <c r="K357" s="46" t="s">
        <v>778</v>
      </c>
    </row>
    <row r="358" spans="1:11" ht="15" customHeight="1">
      <c r="A358" s="45" t="s">
        <v>776</v>
      </c>
      <c r="B358" s="45" t="s">
        <v>1068</v>
      </c>
      <c r="C358" s="45" t="s">
        <v>777</v>
      </c>
      <c r="D358" s="45"/>
      <c r="E358" s="45" t="e">
        <f>VLOOKUP(C358,Average!B$2:D$56,3,FALSE)</f>
        <v>#N/A</v>
      </c>
      <c r="F358" s="45"/>
      <c r="G358" s="45"/>
      <c r="H358" s="45"/>
      <c r="I358" s="45"/>
      <c r="J358" s="43"/>
      <c r="K358" s="46" t="s">
        <v>779</v>
      </c>
    </row>
    <row r="359" spans="1:11" ht="15" customHeight="1">
      <c r="A359" s="45" t="s">
        <v>776</v>
      </c>
      <c r="B359" s="45" t="s">
        <v>1068</v>
      </c>
      <c r="C359" s="45" t="s">
        <v>777</v>
      </c>
      <c r="D359" s="45"/>
      <c r="E359" s="45" t="e">
        <f>VLOOKUP(C359,Average!B$2:D$56,3,FALSE)</f>
        <v>#N/A</v>
      </c>
      <c r="F359" s="45"/>
      <c r="G359" s="45"/>
      <c r="H359" s="45"/>
      <c r="I359" s="45"/>
      <c r="J359" s="44">
        <v>42</v>
      </c>
      <c r="K359" s="46" t="s">
        <v>363</v>
      </c>
    </row>
    <row r="360" spans="1:11" ht="15" customHeight="1">
      <c r="A360" s="45" t="s">
        <v>780</v>
      </c>
      <c r="B360" s="45" t="s">
        <v>1069</v>
      </c>
      <c r="C360" s="45" t="s">
        <v>781</v>
      </c>
      <c r="D360" s="45"/>
      <c r="E360" s="45" t="e">
        <f>VLOOKUP(C360,Average!B$2:D$56,3,FALSE)</f>
        <v>#N/A</v>
      </c>
      <c r="F360" s="45"/>
      <c r="G360" s="45"/>
      <c r="H360" s="45"/>
      <c r="I360" s="45"/>
      <c r="J360" s="44">
        <v>9</v>
      </c>
      <c r="K360" s="45" t="s">
        <v>782</v>
      </c>
    </row>
    <row r="361" spans="1:11" ht="15" customHeight="1">
      <c r="A361" s="45" t="s">
        <v>455</v>
      </c>
      <c r="B361" s="45" t="s">
        <v>953</v>
      </c>
      <c r="C361" s="45" t="s">
        <v>456</v>
      </c>
      <c r="D361" s="45"/>
      <c r="E361" s="45" t="e">
        <f>VLOOKUP(C361,Average!B$2:D$56,3,FALSE)</f>
        <v>#N/A</v>
      </c>
      <c r="F361" s="45"/>
      <c r="G361" s="45"/>
      <c r="H361" s="45"/>
      <c r="I361" s="45"/>
      <c r="J361" s="44" t="s">
        <v>454</v>
      </c>
      <c r="K361" s="45" t="s">
        <v>457</v>
      </c>
    </row>
    <row r="362" spans="1:11" ht="15" customHeight="1">
      <c r="A362" s="45" t="s">
        <v>742</v>
      </c>
      <c r="B362" s="45" t="s">
        <v>1058</v>
      </c>
      <c r="C362" s="45" t="s">
        <v>743</v>
      </c>
      <c r="D362" s="45"/>
      <c r="E362" s="45" t="e">
        <f>VLOOKUP(C362,Average!B$2:D$56,3,FALSE)</f>
        <v>#N/A</v>
      </c>
      <c r="F362" s="45"/>
      <c r="G362" s="45"/>
      <c r="H362" s="45"/>
      <c r="I362" s="45"/>
      <c r="J362" s="43" t="s">
        <v>281</v>
      </c>
      <c r="K362" s="46" t="s">
        <v>744</v>
      </c>
    </row>
    <row r="363" spans="1:11" ht="15" customHeight="1">
      <c r="A363" s="45" t="s">
        <v>773</v>
      </c>
      <c r="B363" s="45" t="s">
        <v>1067</v>
      </c>
      <c r="C363" s="45" t="s">
        <v>774</v>
      </c>
      <c r="D363" s="45"/>
      <c r="E363" s="45" t="e">
        <f>VLOOKUP(C363,Average!B$2:D$56,3,FALSE)</f>
        <v>#N/A</v>
      </c>
      <c r="F363" s="45"/>
      <c r="G363" s="45"/>
      <c r="H363" s="45"/>
      <c r="I363" s="45"/>
      <c r="J363" s="44">
        <v>1</v>
      </c>
      <c r="K363" s="46" t="s">
        <v>444</v>
      </c>
    </row>
    <row r="364" spans="1:11" ht="15" customHeight="1">
      <c r="A364" s="45" t="s">
        <v>773</v>
      </c>
      <c r="B364" s="45" t="s">
        <v>1067</v>
      </c>
      <c r="C364" s="45" t="s">
        <v>774</v>
      </c>
      <c r="D364" s="45"/>
      <c r="E364" s="45" t="e">
        <f>VLOOKUP(C364,Average!B$2:D$56,3,FALSE)</f>
        <v>#N/A</v>
      </c>
      <c r="F364" s="45"/>
      <c r="G364" s="45"/>
      <c r="H364" s="45"/>
      <c r="I364" s="45"/>
      <c r="J364" s="44"/>
      <c r="K364" s="46" t="s">
        <v>775</v>
      </c>
    </row>
    <row r="365" spans="1:11" ht="15" customHeight="1">
      <c r="A365" s="45" t="s">
        <v>783</v>
      </c>
      <c r="B365" s="45" t="s">
        <v>1070</v>
      </c>
      <c r="C365" s="45" t="s">
        <v>784</v>
      </c>
      <c r="D365" s="45"/>
      <c r="E365" s="45" t="e">
        <f>VLOOKUP(C365,Average!B$2:D$56,3,FALSE)</f>
        <v>#N/A</v>
      </c>
      <c r="F365" s="45"/>
      <c r="G365" s="45"/>
      <c r="H365" s="45"/>
      <c r="I365" s="45"/>
      <c r="J365" s="44"/>
      <c r="K365" s="46" t="s">
        <v>291</v>
      </c>
    </row>
    <row r="366" spans="1:11" ht="15" customHeight="1">
      <c r="A366" s="45" t="s">
        <v>892</v>
      </c>
      <c r="B366" s="45" t="s">
        <v>1077</v>
      </c>
      <c r="C366" s="45" t="s">
        <v>815</v>
      </c>
      <c r="D366" s="45"/>
      <c r="E366" s="45" t="e">
        <f>VLOOKUP(C366,Average!B$2:D$56,3,FALSE)</f>
        <v>#N/A</v>
      </c>
      <c r="F366" s="45"/>
      <c r="G366" s="45"/>
      <c r="H366" s="45"/>
      <c r="I366" s="45"/>
      <c r="J366" s="45">
        <v>5</v>
      </c>
      <c r="K366" s="46" t="s">
        <v>816</v>
      </c>
    </row>
    <row r="367" spans="1:11" ht="15" customHeight="1">
      <c r="A367" s="45" t="s">
        <v>458</v>
      </c>
      <c r="B367" s="45" t="s">
        <v>954</v>
      </c>
      <c r="C367" s="45" t="s">
        <v>459</v>
      </c>
      <c r="D367" s="45"/>
      <c r="E367" s="45" t="e">
        <f>VLOOKUP(C367,Average!B$2:D$56,3,FALSE)</f>
        <v>#N/A</v>
      </c>
      <c r="F367" s="45"/>
      <c r="G367" s="45"/>
      <c r="H367" s="45"/>
      <c r="I367" s="45"/>
      <c r="J367" s="44" t="s">
        <v>886</v>
      </c>
      <c r="K367" s="46" t="s">
        <v>460</v>
      </c>
    </row>
    <row r="368" spans="1:11" ht="15" customHeight="1">
      <c r="A368" s="45" t="s">
        <v>870</v>
      </c>
      <c r="B368" s="45" t="s">
        <v>1080</v>
      </c>
      <c r="C368" s="45" t="s">
        <v>871</v>
      </c>
      <c r="D368" s="45"/>
      <c r="E368" s="45" t="e">
        <f>VLOOKUP(C368,Average!B$2:D$56,3,FALSE)</f>
        <v>#N/A</v>
      </c>
      <c r="F368" s="45"/>
      <c r="G368" s="45"/>
      <c r="H368" s="45"/>
      <c r="I368" s="45"/>
      <c r="J368" s="44" t="s">
        <v>824</v>
      </c>
      <c r="K368" s="46" t="s">
        <v>803</v>
      </c>
    </row>
    <row r="369" spans="1:11" ht="15" customHeight="1">
      <c r="A369" s="45" t="s">
        <v>408</v>
      </c>
      <c r="B369" s="45" t="s">
        <v>939</v>
      </c>
      <c r="C369" s="45" t="s">
        <v>409</v>
      </c>
      <c r="D369" s="45"/>
      <c r="E369" s="45" t="e">
        <f>VLOOKUP(C369,Average!B$2:D$56,3,FALSE)</f>
        <v>#N/A</v>
      </c>
      <c r="F369" s="45"/>
      <c r="G369" s="45"/>
      <c r="H369" s="45"/>
      <c r="I369" s="45"/>
      <c r="J369" s="44" t="s">
        <v>410</v>
      </c>
      <c r="K369" s="46" t="s">
        <v>411</v>
      </c>
    </row>
    <row r="370" spans="1:11" ht="15" customHeight="1">
      <c r="A370" s="45" t="s">
        <v>412</v>
      </c>
      <c r="B370" s="45" t="s">
        <v>940</v>
      </c>
      <c r="C370" s="45" t="s">
        <v>413</v>
      </c>
      <c r="D370" s="45"/>
      <c r="E370" s="45" t="e">
        <f>VLOOKUP(C370,Average!B$2:D$56,3,FALSE)</f>
        <v>#N/A</v>
      </c>
      <c r="F370" s="45"/>
      <c r="G370" s="45"/>
      <c r="H370" s="45"/>
      <c r="I370" s="45"/>
      <c r="J370" s="44" t="s">
        <v>414</v>
      </c>
      <c r="K370" s="46" t="s">
        <v>415</v>
      </c>
    </row>
    <row r="371" spans="1:11" ht="15" customHeight="1">
      <c r="A371" s="45" t="s">
        <v>412</v>
      </c>
      <c r="B371" s="45" t="s">
        <v>940</v>
      </c>
      <c r="C371" s="45" t="s">
        <v>413</v>
      </c>
      <c r="D371" s="45"/>
      <c r="E371" s="45" t="e">
        <f>VLOOKUP(C371,Average!B$2:D$56,3,FALSE)</f>
        <v>#N/A</v>
      </c>
      <c r="F371" s="45"/>
      <c r="G371" s="45"/>
      <c r="H371" s="45"/>
      <c r="I371" s="45"/>
      <c r="J371" s="47">
        <v>45387</v>
      </c>
      <c r="K371" s="46" t="s">
        <v>373</v>
      </c>
    </row>
    <row r="372" spans="1:11" ht="15" customHeight="1">
      <c r="A372" s="45" t="s">
        <v>418</v>
      </c>
      <c r="B372" s="45" t="s">
        <v>942</v>
      </c>
      <c r="C372" s="45" t="s">
        <v>419</v>
      </c>
      <c r="D372" s="45"/>
      <c r="E372" s="45" t="e">
        <f>VLOOKUP(C372,Average!B$2:D$56,3,FALSE)</f>
        <v>#N/A</v>
      </c>
      <c r="F372" s="45"/>
      <c r="G372" s="45"/>
      <c r="H372" s="45"/>
      <c r="I372" s="45"/>
      <c r="J372" s="45"/>
      <c r="K372" s="46" t="s">
        <v>420</v>
      </c>
    </row>
    <row r="373" spans="1:11" ht="15" customHeight="1">
      <c r="A373" s="45" t="s">
        <v>539</v>
      </c>
      <c r="B373" s="45" t="s">
        <v>984</v>
      </c>
      <c r="C373" s="45" t="s">
        <v>540</v>
      </c>
      <c r="D373" s="45"/>
      <c r="E373" s="45" t="e">
        <f>VLOOKUP(C373,Average!B$2:D$56,3,FALSE)</f>
        <v>#N/A</v>
      </c>
      <c r="F373" s="45"/>
      <c r="G373" s="45"/>
      <c r="H373" s="45"/>
      <c r="I373" s="45"/>
      <c r="J373" s="44" t="s">
        <v>541</v>
      </c>
      <c r="K373" s="46" t="s">
        <v>542</v>
      </c>
    </row>
    <row r="374" spans="1:11" ht="15" customHeight="1">
      <c r="A374" s="45" t="s">
        <v>556</v>
      </c>
      <c r="B374" s="45" t="s">
        <v>990</v>
      </c>
      <c r="C374" s="45" t="s">
        <v>557</v>
      </c>
      <c r="D374" s="45"/>
      <c r="E374" s="45" t="e">
        <f>VLOOKUP(C374,Average!B$2:D$56,3,FALSE)</f>
        <v>#N/A</v>
      </c>
      <c r="F374" s="45"/>
      <c r="G374" s="45"/>
      <c r="H374" s="45"/>
      <c r="I374" s="45"/>
      <c r="J374" s="43" t="s">
        <v>281</v>
      </c>
      <c r="K374" s="46" t="s">
        <v>558</v>
      </c>
    </row>
    <row r="375" spans="1:11" ht="15" customHeight="1">
      <c r="A375" s="45" t="s">
        <v>696</v>
      </c>
      <c r="B375" s="45" t="s">
        <v>1040</v>
      </c>
      <c r="C375" s="45" t="s">
        <v>697</v>
      </c>
      <c r="D375" s="45"/>
      <c r="E375" s="45" t="e">
        <f>VLOOKUP(C375,Average!B$2:D$56,3,FALSE)</f>
        <v>#N/A</v>
      </c>
      <c r="F375" s="45"/>
      <c r="G375" s="45"/>
      <c r="H375" s="45"/>
      <c r="I375" s="45"/>
      <c r="J375" s="45"/>
      <c r="K375" s="46" t="s">
        <v>694</v>
      </c>
    </row>
    <row r="376" spans="1:11" ht="15" customHeight="1">
      <c r="A376" s="45" t="s">
        <v>696</v>
      </c>
      <c r="B376" s="45" t="s">
        <v>1040</v>
      </c>
      <c r="C376" s="45" t="s">
        <v>697</v>
      </c>
      <c r="D376" s="45"/>
      <c r="E376" s="45" t="e">
        <f>VLOOKUP(C376,Average!B$2:D$56,3,FALSE)</f>
        <v>#N/A</v>
      </c>
      <c r="F376" s="45"/>
      <c r="G376" s="45"/>
      <c r="H376" s="45"/>
      <c r="I376" s="45"/>
      <c r="J376" s="43"/>
      <c r="K376" s="46" t="s">
        <v>698</v>
      </c>
    </row>
    <row r="377" spans="1:11" ht="15" customHeight="1">
      <c r="A377" s="45" t="s">
        <v>825</v>
      </c>
      <c r="B377" s="45" t="s">
        <v>825</v>
      </c>
      <c r="C377" s="45"/>
      <c r="D377" s="45"/>
      <c r="E377" s="45" t="e">
        <f>VLOOKUP(C377,Average!B$2:D$56,3,FALSE)</f>
        <v>#N/A</v>
      </c>
      <c r="F377" s="45"/>
      <c r="G377" s="45"/>
      <c r="H377" s="45"/>
      <c r="I377" s="45"/>
      <c r="J377" s="44" t="s">
        <v>826</v>
      </c>
      <c r="K377" s="46" t="s">
        <v>803</v>
      </c>
    </row>
    <row r="378" spans="1:11" ht="15" customHeight="1">
      <c r="A378" s="52" t="s">
        <v>874</v>
      </c>
      <c r="B378" s="52" t="s">
        <v>896</v>
      </c>
      <c r="C378" s="45"/>
      <c r="D378" s="45"/>
      <c r="E378" s="45" t="e">
        <f>VLOOKUP(C378,Average!B$2:D$56,3,FALSE)</f>
        <v>#N/A</v>
      </c>
      <c r="F378" s="45"/>
      <c r="G378" s="45"/>
      <c r="H378" s="45"/>
      <c r="I378" s="45"/>
      <c r="J378" s="44">
        <v>9</v>
      </c>
      <c r="K378" s="46" t="s">
        <v>288</v>
      </c>
    </row>
    <row r="379" spans="1:11" ht="15" customHeight="1">
      <c r="A379" s="45" t="s">
        <v>875</v>
      </c>
      <c r="B379" s="45" t="s">
        <v>897</v>
      </c>
      <c r="C379" s="45"/>
      <c r="D379" s="45"/>
      <c r="E379" s="45" t="e">
        <f>VLOOKUP(C379,Average!B$2:D$56,3,FALSE)</f>
        <v>#N/A</v>
      </c>
      <c r="F379" s="45"/>
      <c r="G379" s="45"/>
      <c r="H379" s="45"/>
      <c r="I379" s="45"/>
      <c r="J379" s="44">
        <v>5</v>
      </c>
      <c r="K379" s="46" t="s">
        <v>278</v>
      </c>
    </row>
    <row r="380" spans="1:11" ht="15" customHeight="1">
      <c r="A380" s="45" t="s">
        <v>827</v>
      </c>
      <c r="B380" s="45" t="s">
        <v>898</v>
      </c>
      <c r="C380" s="45"/>
      <c r="D380" s="45"/>
      <c r="E380" s="45" t="e">
        <f>VLOOKUP(C380,Average!B$2:D$56,3,FALSE)</f>
        <v>#N/A</v>
      </c>
      <c r="F380" s="45"/>
      <c r="G380" s="45"/>
      <c r="H380" s="45"/>
      <c r="I380" s="45"/>
      <c r="J380" s="44" t="s">
        <v>828</v>
      </c>
      <c r="K380" s="46"/>
    </row>
  </sheetData>
  <sortState xmlns:xlrd2="http://schemas.microsoft.com/office/spreadsheetml/2017/richdata2" ref="A2:K380">
    <sortCondition ref="F2:F380"/>
  </sortState>
  <hyperlinks>
    <hyperlink ref="K230" r:id="rId1" display="https://www.ncbi.nlm.nih.gov/pubmed/31004048" xr:uid="{48F7F143-6AC7-1F4E-86FC-66FF9428346B}"/>
    <hyperlink ref="K266" r:id="rId2" display="https://www.ncbi.nlm.nih.gov/pmc/articles/PMC9128028/" xr:uid="{D3B4C470-F126-C84A-BF09-8CF175618492}"/>
    <hyperlink ref="K2" r:id="rId3" display="http://www.ncbi.nlm.nih.gov/entrez/query.fcgi?cmd=Retrieve&amp;db=PubMed&amp;list_uids=15732097&amp;dopt=Abstract" xr:uid="{872BE8A6-6543-AD40-8405-2461101C5F17}"/>
    <hyperlink ref="K335" r:id="rId4" display="http://www.ncbi.nlm.nih.gov/pubmed/26486671" xr:uid="{34FDA984-2E2B-1D46-BF5A-D187674FBF0A}"/>
    <hyperlink ref="K336" r:id="rId5" display="http://www.ncbi.nlm.nih.gov/pubmed?term=21917775" xr:uid="{92C45D40-B82F-644D-9F73-F3834B2500AF}"/>
    <hyperlink ref="K337" r:id="rId6" display="http://www.ncbi.nlm.nih.gov/pubmed/22619055" xr:uid="{9B37CFFB-B072-F348-83AE-78D48D2E1211}"/>
    <hyperlink ref="K338" r:id="rId7" display="http://www.ncbi.nlm.nih.gov/pubmed/24188966" xr:uid="{885AE7BB-26D4-474A-83A2-D67F2BF61DDC}"/>
    <hyperlink ref="K339" r:id="rId8" display="https://www.ncbi.nlm.nih.gov/pubmed/32374915" xr:uid="{05393F21-8601-1D41-BABB-F36D3CA90B68}"/>
    <hyperlink ref="K340" r:id="rId9" display="https://pubmed.ncbi.nlm.nih.gov/34012265/" xr:uid="{F271388B-AB59-E749-B9BB-89394992F18D}"/>
    <hyperlink ref="K341" r:id="rId10" display="https://pubmed.ncbi.nlm.nih.gov/37396762/" xr:uid="{4CD376A3-C874-C94C-8E28-5CE7D693039E}"/>
    <hyperlink ref="K222" r:id="rId11" display="http://www.ncbi.nlm.nih.gov/pubmed/21270471" xr:uid="{4591697F-6C88-5D49-B984-B137C5197F71}"/>
    <hyperlink ref="K223" r:id="rId12" display="https://www.ncbi.nlm.nih.gov/pubmed/27402089" xr:uid="{2EF75ED2-370D-3A49-A638-8D7682351D26}"/>
    <hyperlink ref="K224" r:id="rId13" display="https://www.ncbi.nlm.nih.gov/pubmed/29191363" xr:uid="{DFAFDFF3-8A15-3D42-846C-21A385B261A3}"/>
    <hyperlink ref="K3" r:id="rId14" display="http://www.ncbi.nlm.nih.gov/pubmed/24306001" xr:uid="{85D001D4-39A6-2F47-94FB-AAFBDC566528}"/>
    <hyperlink ref="K43" r:id="rId15" display="http://www.ncbi.nlm.nih.gov/entrez/query.fcgi?cmd=Retrieve&amp;db=PubMed&amp;list_uids=16240361&amp;dopt=Abstract" xr:uid="{9D9D4525-0FA1-4143-99C2-9755C747224D}"/>
    <hyperlink ref="K44" r:id="rId16" display="http://www.ncbi.nlm.nih.gov/entrez/query.fcgi?cmd=Retrieve&amp;db=PubMed&amp;list_uids=17438228&amp;dopt=Abstract" xr:uid="{763C1046-78A5-4243-946D-4C60CAEA34AE}"/>
    <hyperlink ref="K45" r:id="rId17" display="http://www.ncbi.nlm.nih.gov/entrez/query.fcgi?cmd=Retrieve&amp;db=PubMed&amp;list_uids=17894839&amp;dopt=Abstract" xr:uid="{C22FC75B-C359-E445-8BFB-03A3324A5D93}"/>
    <hyperlink ref="K47" r:id="rId18" display="https://www.ncbi.nlm.nih.gov/pubmed/29443213" xr:uid="{97A6B47E-92CE-5249-94A2-D3599D5EC1BF}"/>
    <hyperlink ref="K48" r:id="rId19" display="https://www.ncbi.nlm.nih.gov/pubmed/31611638" xr:uid="{1CC82A3D-6D84-F740-BD8B-4F638EC37CC9}"/>
    <hyperlink ref="K49" r:id="rId20" display="https://www.ncbi.nlm.nih.gov/pubmed/31952467" xr:uid="{21235771-EE5D-3C40-9C2B-9B397C0BB3D1}"/>
    <hyperlink ref="K50" r:id="rId21" display="https://pubmed.ncbi.nlm.nih.gov/34245630/" xr:uid="{16684914-23E2-B141-A533-E90672CF599C}"/>
    <hyperlink ref="K225" r:id="rId22" display="http://www.ncbi.nlm.nih.gov/pubmed?term=21917775" xr:uid="{742FD221-24D6-3246-995C-2E42894F9FD1}"/>
    <hyperlink ref="K226" r:id="rId23" display="https://www.ncbi.nlm.nih.gov/pmc/articles/PMC8201446/" xr:uid="{4FA1CF4E-CFB2-9B46-B706-A5121DECC295}"/>
    <hyperlink ref="K271" r:id="rId24" display="https://www.ncbi.nlm.nih.gov/pubmed/31781017" xr:uid="{1ED8865B-FF69-8E44-84DD-731A63EE342D}"/>
    <hyperlink ref="K272" r:id="rId25" display="https://pubmed.ncbi.nlm.nih.gov/32893243/" xr:uid="{F4E767DE-AA15-B248-B86A-E07F1DE8C9BE}"/>
    <hyperlink ref="K273" r:id="rId26" display="https://pubmed.ncbi.nlm.nih.gov/37658208/" xr:uid="{56A558DE-3566-C546-A6E2-C4A2E3EAA0C1}"/>
    <hyperlink ref="K274" r:id="rId27" display="http://www.ncbi.nlm.nih.gov/entrez/query.fcgi?cmd=Retrieve&amp;db=PubMed&amp;list_uids=17894839&amp;dopt=Abstract" xr:uid="{FCAD751B-5101-2943-9C0D-193665F17E14}"/>
    <hyperlink ref="K99" r:id="rId28" display="http://www.ncbi.nlm.nih.gov/entrez/query.fcgi?cmd=Retrieve&amp;db=PubMed&amp;list_uids=12034785&amp;dopt=Abstract" xr:uid="{8A76D8C1-3430-AD4C-8BEF-4C78E5CC8A07}"/>
    <hyperlink ref="K14" r:id="rId29" display="http://www.ncbi.nlm.nih.gov/entrez/query.fcgi?cmd=Retrieve&amp;db=PubMed&amp;list_uids=15732097&amp;dopt=Abstract" xr:uid="{B1EF9B19-4374-0A4A-B0ED-5DDB9A4FA0E8}"/>
    <hyperlink ref="K65" r:id="rId30" display="http://www.ncbi.nlm.nih.gov/entrez/query.fcgi?cmd=Retrieve&amp;db=PubMed&amp;list_uids=18653683&amp;dopt=Abstract" xr:uid="{AD922BCD-926F-8349-AEDA-63D7B61BE898}"/>
    <hyperlink ref="K275" r:id="rId31" display="https://www.ncbi.nlm.nih.gov/pubmed/29339051" xr:uid="{19A15EFA-01FB-9B48-B773-8308E84B5D52}"/>
    <hyperlink ref="K276" r:id="rId32" display="https://pubmed.ncbi.nlm.nih.gov/36088400/" xr:uid="{B71D6396-67C4-6245-B1B5-715909091CED}"/>
    <hyperlink ref="K277" r:id="rId33" display="http://www.ncbi.nlm.nih.gov/entrez/query.fcgi?cmd=Retrieve&amp;db=PubMed&amp;list_uids=17934883&amp;dopt=Abstract" xr:uid="{256D635D-456C-D142-8EEC-30C132452787}"/>
    <hyperlink ref="K278" r:id="rId34" display="http://www.ncbi.nlm.nih.gov/pubmed?term=20849398%5buid%5d&amp;cmd=DetailsSearch" xr:uid="{016A1C87-A47E-994B-86DD-FFE2D5E7A3E4}"/>
    <hyperlink ref="K279" r:id="rId35" display="https://www.ncbi.nlm.nih.gov/pubmed/31611638" xr:uid="{DE849557-B58D-9B42-8A7F-D5D4679585AE}"/>
    <hyperlink ref="K59" r:id="rId36" display="http://www.ncbi.nlm.nih.gov/entrez/query.fcgi?cmd=Retrieve&amp;db=PubMed&amp;list_uids=11567214&amp;dopt=Abstract" xr:uid="{CE6AB8E1-DBB3-884E-B6BE-0EA0AADBE9B4}"/>
    <hyperlink ref="K11" r:id="rId37" display="http://www.ncbi.nlm.nih.gov/entrez/query.fcgi?cmd=Retrieve&amp;db=PubMed&amp;list_uids=15732097&amp;dopt=Abstract" xr:uid="{A03B92D2-EBAB-D54A-BF1E-F801E7C0C4C8}"/>
    <hyperlink ref="K60" r:id="rId38" display="http://www.ncbi.nlm.nih.gov/pubmed?term=21917775" xr:uid="{E9AFE797-ACF1-934E-AEDD-02E860F7D84A}"/>
    <hyperlink ref="K61" r:id="rId39" display="http://www.ncbi.nlm.nih.gov/pubmed/23364391" xr:uid="{59F4C9D2-44AC-F74C-B491-E2CE23C8FF33}"/>
    <hyperlink ref="K267" r:id="rId40" display="https://www.ncbi.nlm.nih.gov/pubmed/28112050" xr:uid="{84A51220-E41A-C64D-BE24-830ED4FD4B3D}"/>
    <hyperlink ref="K62" r:id="rId41" display="https://pubmed.ncbi.nlm.nih.gov/37455276/" xr:uid="{F0D05B7D-36B0-8F46-BB10-2F2CFEE48C65}"/>
    <hyperlink ref="K12" r:id="rId42" display="http://www.ncbi.nlm.nih.gov/entrez/query.fcgi?cmd=Retrieve&amp;db=PubMed&amp;list_uids=15732097&amp;dopt=Abstract" xr:uid="{6316622B-4F09-CB47-9F28-781B92EE440F}"/>
    <hyperlink ref="K292" r:id="rId43" display="https://pubmed.ncbi.nlm.nih.gov/32144715" xr:uid="{CE58621F-ECA0-6D48-A2B7-4D009C5CC715}"/>
    <hyperlink ref="K293" r:id="rId44" display="http://www.ncbi.nlm.nih.gov/pubmed/?term=23364391" xr:uid="{66E40429-2E63-1F4F-BDC2-5E268135C369}"/>
    <hyperlink ref="K16" r:id="rId45" display="http://www.ncbi.nlm.nih.gov/entrez/query.fcgi?cmd=Retrieve&amp;db=PubMed&amp;list_uids=15732097&amp;dopt=Abstract" xr:uid="{4A278076-9107-4D40-8FEF-C76AAC81FBDC}"/>
    <hyperlink ref="K67" r:id="rId46" display="http://www.ncbi.nlm.nih.gov/entrez/query.fcgi?cmd=Retrieve&amp;db=PubMed&amp;list_uids=17894839&amp;dopt=Abstract" xr:uid="{654682C2-A922-744C-9D8A-14272BD556AA}"/>
    <hyperlink ref="K15" r:id="rId47" display="http://eneuro.org/content/2/5/ENEURO.0080-15.2015" xr:uid="{C1C31854-E325-E047-BFE6-168DBCFAB1FE}"/>
    <hyperlink ref="K294" r:id="rId48" display="http://eneuro.org/content/2/5/ENEURO.0080-15.2015" xr:uid="{8AECA919-4E1B-4748-A048-86EEC85F864F}"/>
    <hyperlink ref="K68" r:id="rId49" display="https://pubmed.ncbi.nlm.nih.gov/37577938/" xr:uid="{1BD0DDFA-B3AF-2748-B475-7B9F98741A9C}"/>
    <hyperlink ref="K69" r:id="rId50" display="http://www.ncbi.nlm.nih.gov/entrez/query.fcgi?cmd=Retrieve&amp;db=PubMed&amp;list_uids=11567214&amp;dopt=Abstract" xr:uid="{47C8B0F0-8101-654B-A7FB-FB8B532FDB09}"/>
    <hyperlink ref="K42" r:id="rId51" display="http://www.ncbi.nlm.nih.gov/entrez/query.fcgi?cmd=Retrieve&amp;db=PubMed&amp;list_uids=12975300&amp;dopt=Abstract" xr:uid="{983D1D34-08B8-2340-98CA-AC3C9A563D05}"/>
    <hyperlink ref="K196" r:id="rId52" display="http://www.ncbi.nlm.nih.gov/pubmed/23743246" xr:uid="{A7DA8A5F-0AEA-5F47-BB44-AD1F67C51DB3}"/>
    <hyperlink ref="K197" r:id="rId53" display="https://pubmed.ncbi.nlm.nih.gov/34245630/" xr:uid="{21B704DB-8E88-714A-94D6-314A79267A8C}"/>
    <hyperlink ref="K198" r:id="rId54" display="http://www.ncbi.nlm.nih.gov/pubmed/26743065" xr:uid="{51D019A7-C9BD-A347-A356-05EC09CD772E}"/>
    <hyperlink ref="K148" r:id="rId55" display="http://www.ncbi.nlm.nih.gov/entrez/query.fcgi?cmd=Retrieve&amp;db=PubMed&amp;list_uids=11138011&amp;dopt=Abstract" xr:uid="{14748CED-6D13-AD4C-B4B4-6CD9CB4680EE}"/>
    <hyperlink ref="K149" r:id="rId56" display="http://www.ncbi.nlm.nih.gov/entrez/query.fcgi?cmd=Retrieve&amp;db=PubMed&amp;list_uids=12509855&amp;dopt=Abstract" xr:uid="{839A3525-FB3F-2C43-8BC9-23E69E1C75AF}"/>
    <hyperlink ref="K150" r:id="rId57" display="http://www.ncbi.nlm.nih.gov/entrez/query.fcgi?cmd=Retrieve&amp;db=PubMed&amp;list_uids=12034785&amp;dopt=Abstract" xr:uid="{97043F7D-5E59-1140-A029-67A262470621}"/>
    <hyperlink ref="K151" r:id="rId58" display="http://www.ncbi.nlm.nih.gov/entrez/query.fcgi?cmd=Retrieve&amp;db=PubMed&amp;list_uids=12581808&amp;dopt=Abstract" xr:uid="{10B4C575-AB22-4448-84A7-9049843DB893}"/>
    <hyperlink ref="K152" r:id="rId59" display="http://www.ncbi.nlm.nih.gov/entrez/query.fcgi?cmd=Retrieve&amp;db=PubMed&amp;list_uids=17894839&amp;dopt=Abstract" xr:uid="{9C087CE6-3C5D-C448-A600-C6F9C03867EB}"/>
    <hyperlink ref="K154" r:id="rId60" display="http://www.ncbi.nlm.nih.gov/entrez/query.fcgi?cmd=Retrieve&amp;db=PubMed&amp;list_uids=18584981&amp;dopt=Abstract" xr:uid="{7207C967-357F-4B49-9B32-AE09803C408E}"/>
    <hyperlink ref="K155" r:id="rId61" display="http://www.ncbi.nlm.nih.gov/pubmed/23254569" xr:uid="{08C2962E-0793-9B47-8299-0D24E3700D31}"/>
    <hyperlink ref="K156" r:id="rId62" display="http://www.ncbi.nlm.nih.gov/pubmed/23364391" xr:uid="{0AEE7A5C-FD91-B94A-BA47-65570258E0FE}"/>
    <hyperlink ref="K39" r:id="rId63" display="http://eneuro.org/content/2/5/ENEURO.0080-15.2015" xr:uid="{C06130C1-2560-2546-92F8-87A65FBB1A82}"/>
    <hyperlink ref="K157" r:id="rId64" display="https://pubmed.ncbi.nlm.nih.gov/27442695/" xr:uid="{269AB804-3CB1-5745-B542-6223141EEB7C}"/>
    <hyperlink ref="K84" r:id="rId65" display="http://www.ncbi.nlm.nih.gov/entrez/query.fcgi?cmd=Retrieve&amp;db=PubMed&amp;list_uids=12034785&amp;dopt=Abstract" xr:uid="{502FD380-73D4-6A48-9CBF-6D2534E36FC3}"/>
    <hyperlink ref="K20" r:id="rId66" display="http://eneuro.org/content/2/5/ENEURO.0080-15.2015" xr:uid="{C7981E85-A0D7-1A44-98E1-889EA1013308}"/>
    <hyperlink ref="K158" r:id="rId67" display="http://www.ncbi.nlm.nih.gov/entrez/query.fcgi?cmd=Retrieve&amp;db=PubMed&amp;list_uids=11138011&amp;dopt=Abstract" xr:uid="{101C5083-2C84-8548-9E37-F38F5908EF97}"/>
    <hyperlink ref="K159" r:id="rId68" display="http://www.ncbi.nlm.nih.gov/entrez/query.fcgi?cmd=Retrieve&amp;db=PubMed&amp;list_uids=12034785&amp;dopt=Abstract" xr:uid="{B53D038E-1CC4-DD45-B7C7-E9F448764757}"/>
    <hyperlink ref="K160" r:id="rId69" display="http://www.ncbi.nlm.nih.gov/entrez/query.fcgi?cmd=Retrieve&amp;db=PubMed&amp;list_uids=12368989&amp;dopt=Abstract" xr:uid="{46015ABE-5A0C-FC45-B2F6-5B3C0E3918FC}"/>
    <hyperlink ref="K161" r:id="rId70" display="http://www.ncbi.nlm.nih.gov/entrez/query.fcgi?cmd=Retrieve&amp;db=PubMed&amp;list_uids=11567214&amp;dopt=Abstract" xr:uid="{7AF99F01-DBBA-B943-ADF2-314CB0791253}"/>
    <hyperlink ref="K162" r:id="rId71" display="http://www.ncbi.nlm.nih.gov/entrez/query.fcgi?cmd=Retrieve&amp;db=PubMed&amp;list_uids=16168593&amp;dopt=Abstract" xr:uid="{24B167F5-9144-1642-974C-91AE85867954}"/>
    <hyperlink ref="K163" r:id="rId72" display="http://www.ncbi.nlm.nih.gov/pubmed?term=20849398%5buid%5d&amp;cmd=DetailsSearch" xr:uid="{D0261F4A-83E9-ED4A-8DB9-F67600845A73}"/>
    <hyperlink ref="K164" r:id="rId73" display="http://www.ncbi.nlm.nih.gov/pubmed/?term=zang+l+183" xr:uid="{9CF73438-C6F0-F24D-94AE-EB3E1969EC00}"/>
    <hyperlink ref="K165" r:id="rId74" display="http://www.ncbi.nlm.nih.gov/pubmed/23903069" xr:uid="{2AF1C4B7-F31B-F343-9C2D-66DCE70B0C28}"/>
    <hyperlink ref="K166" r:id="rId75" display="http://www.ncbi.nlm.nih.gov/pubmed/24427505" xr:uid="{291BBD26-6B2B-984F-8D6B-2BF201607C57}"/>
    <hyperlink ref="K41" r:id="rId76" display="http://eneuro.org/content/2/5/ENEURO.0080-15.2015" xr:uid="{6CA9527F-AFAF-444C-8EFE-9743201D0C8D}"/>
    <hyperlink ref="K167" r:id="rId77" display="https://pubmed.ncbi.nlm.nih.gov/27442695/" xr:uid="{CA4D5FCB-E9B1-C64E-88F3-DF52F816F59D}"/>
    <hyperlink ref="K168" r:id="rId78" display="https://www.ncbi.nlm.nih.gov/pubmed/30134051" xr:uid="{625B7186-96BC-CF48-A5AF-9F1C266703D6}"/>
    <hyperlink ref="K169" r:id="rId79" display="https://www.ncbi.nlm.nih.gov/pubmed/31942421" xr:uid="{1E8126F4-73DD-524C-BBE0-8C8165126F7A}"/>
    <hyperlink ref="K170" r:id="rId80" display="https://www.ncbi.nlm.nih.gov/pubmed/31956193" xr:uid="{CBB57248-7AE9-5F45-B344-8B415FC229F2}"/>
    <hyperlink ref="K171" r:id="rId81" display="https://www.ncbi.nlm.nih.gov/pubmed/31932408" xr:uid="{7BABC862-F043-4C45-A2D7-3C484DE26D50}"/>
    <hyperlink ref="K172" r:id="rId82" display="https://pubmed.ncbi.nlm.nih.gov/34248569/" xr:uid="{2DD01A83-7271-A64E-8826-37BBB2A569C6}"/>
    <hyperlink ref="K342" r:id="rId83" display="http://www.ncbi.nlm.nih.gov/entrez/query.fcgi?cmd=Retrieve&amp;db=PubMed&amp;list_uids=19444543&amp;dopt=Abstract" xr:uid="{42787439-9944-534E-B1A5-2A06EB42716D}"/>
    <hyperlink ref="K86" r:id="rId84" display="http://www.ncbi.nlm.nih.gov/pubmed/23364391" xr:uid="{B6347A53-D070-8A40-8B23-5A8D9C4ACC77}"/>
    <hyperlink ref="K87" r:id="rId85" display="http://eneuro.org/content/2/5/ENEURO.0080-15.2015" xr:uid="{45D2B04F-08D9-5144-80BC-FF02A621DF81}"/>
    <hyperlink ref="K343" r:id="rId86" display="http://www.ncbi.nlm.nih.gov/entrez/query.fcgi?cmd=Retrieve&amp;db=PubMed&amp;list_uids=17894839&amp;dopt=Abstract" xr:uid="{5B97C39F-383A-AC4A-A71F-F7A65934C51B}"/>
    <hyperlink ref="K88" r:id="rId87" display="http://www.ncbi.nlm.nih.gov/pubmed?term=21917775" xr:uid="{A8A76A7F-F750-974C-8D0A-D5CC59ABA70F}"/>
    <hyperlink ref="K228" r:id="rId88" display="http://www.ncbi.nlm.nih.gov/pubmed/24045243" xr:uid="{63570295-1047-1D4E-A551-A50BB7157A19}"/>
    <hyperlink ref="K229" r:id="rId89" display="https://www.ncbi.nlm.nih.gov/pubmed/29573842" xr:uid="{BF1CFA30-8CB5-714C-B513-ADAD068DB2B7}"/>
    <hyperlink ref="K92" r:id="rId90" display="http://www.ncbi.nlm.nih.gov/entrez/query.fcgi?cmd=Retrieve&amp;db=PubMed&amp;list_uids=18079314&amp;dopt=Abstract" xr:uid="{40099DFA-CF7D-2F48-A2D4-253356704C92}"/>
    <hyperlink ref="K238" r:id="rId91" display="https://www.ncbi.nlm.nih.gov/pubmed/?term=27779215" xr:uid="{FB7A49C7-7284-6342-A970-3BA08F33A1CC}"/>
    <hyperlink ref="K243" r:id="rId92" display="http://www.ncbi.nlm.nih.gov/pubmed?term=21572052%5bPMID%5d" xr:uid="{699B91DD-8EE3-7645-BA07-EFE3CD54E05E}"/>
    <hyperlink ref="K244" r:id="rId93" display="http://www.ncbi.nlm.nih.gov/pubmed?term=21917775" xr:uid="{8E581F69-F00E-0A48-8118-6E08333AC16E}"/>
    <hyperlink ref="K245" r:id="rId94" display="http://www.ncbi.nlm.nih.gov/entrez/query.fcgi?cmd=Retrieve&amp;db=PubMed&amp;list_uids=16505300&amp;dopt=Abstract" xr:uid="{CA290CD3-CAD6-7747-B302-D573B97D5AAB}"/>
    <hyperlink ref="K369" r:id="rId95" display="https://www.frontiersin.org/journals/neurology/articles/10.3389/fneur.2024.1362013/full" xr:uid="{821B03D1-507F-ED42-99BB-1AD5D5F48A04}"/>
    <hyperlink ref="K370" r:id="rId96" display="http://www.ncbi.nlm.nih.gov/entrez/query.fcgi?cmd=Retrieve&amp;db=PubMed&amp;list_uids=11867077&amp;dopt=Abstract" xr:uid="{EB29A110-5C7C-1549-93F9-7A0CD7AB2CB3}"/>
    <hyperlink ref="K371" r:id="rId97" display="http://www.ncbi.nlm.nih.gov/pubmed?term=20849398%5buid%5d&amp;cmd=DetailsSearch" xr:uid="{0011DC02-8B9F-E142-A895-C2475EB36AD1}"/>
    <hyperlink ref="K105" r:id="rId98" display="http://www.ncbi.nlm.nih.gov/pubmed/21902566" xr:uid="{68F72B5B-9852-364B-A7BA-6E558A907FA5}"/>
    <hyperlink ref="K106" r:id="rId99" display="http://www.ncbi.nlm.nih.gov/pubmed/24306001" xr:uid="{B51674A4-C52D-9645-982F-EAF8BC00393E}"/>
    <hyperlink ref="K372" r:id="rId100" display="http://www.ncbi.nlm.nih.gov/pubmed?term=PMID%3A%2021822933" xr:uid="{D02FCA85-6B86-CA4E-BA96-DEA995910C09}"/>
    <hyperlink ref="K122" r:id="rId101" display="http://www.ncbi.nlm.nih.gov/entrez/query.fcgi?cmd=Retrieve&amp;db=PubMed&amp;list_uids=11567214&amp;dopt=Abstract" xr:uid="{1D4E6770-D735-8F48-A57B-62638563EF01}"/>
    <hyperlink ref="K34" r:id="rId102" display="http://www.ncbi.nlm.nih.gov/entrez/query.fcgi?cmd=Retrieve&amp;db=PubMed&amp;list_uids=15732097&amp;dopt=Abstract" xr:uid="{971AFF84-7A8B-B447-8F32-F5BB7B6B0451}"/>
    <hyperlink ref="K123" r:id="rId103" display="http://www.ncbi.nlm.nih.gov/entrez/query.fcgi?cmd=Retrieve&amp;db=PubMed&amp;list_uids=15477559&amp;dopt=Abstract" xr:uid="{F63C99B8-E823-F841-B25F-8C7C78EB597A}"/>
    <hyperlink ref="K124" r:id="rId104" display="http://www.ncbi.nlm.nih.gov/entrez/query.fcgi?cmd=Retrieve&amp;db=PubMed&amp;list_uids=16217707&amp;dopt=Abstract" xr:uid="{7628E05F-714E-AC4E-8DCB-2E9B3139F46A}"/>
    <hyperlink ref="K125" r:id="rId105" display="http://www.ncbi.nlm.nih.gov/entrez/query.fcgi?cmd=Retrieve&amp;db=PubMed&amp;list_uids=17894839&amp;dopt=Abstract" xr:uid="{2581CA06-613E-A847-96AF-DBE1ED4D6C3F}"/>
    <hyperlink ref="K126" r:id="rId106" display="http://www.ncbi.nlm.nih.gov/entrez/query.fcgi?cmd=Retrieve&amp;db=PubMed&amp;list_uids=18079314&amp;dopt=Abstract" xr:uid="{B0E6CA3D-C639-CA46-A4FE-CCAB9639A3C1}"/>
    <hyperlink ref="K127" r:id="rId107" display="http://www.ncbi.nlm.nih.gov/pubmed/23364391" xr:uid="{CF73FD93-7A4A-6342-9289-373038055259}"/>
    <hyperlink ref="K35" r:id="rId108" display="http://eneuro.org/content/2/5/ENEURO.0080-15.2015" xr:uid="{749FAE11-DC0F-E041-981A-EA8EA3A82E8C}"/>
    <hyperlink ref="K128" r:id="rId109" display="https://pubmed.ncbi.nlm.nih.gov/27442695/" xr:uid="{4AF17D9D-2650-4A41-A8BD-F2FADAA934A2}"/>
    <hyperlink ref="K129" r:id="rId110" display="http://www.ncbi.nlm.nih.gov/pubmed/26743065" xr:uid="{B2A7F472-11BF-594F-ADF5-523A3F06D673}"/>
    <hyperlink ref="K130" r:id="rId111" display="https://www.ncbi.nlm.nih.gov/pubmed/30037922" xr:uid="{10162435-A318-5245-8605-2C9FE80B890C}"/>
    <hyperlink ref="K131" r:id="rId112" display="https://www.ncbi.nlm.nih.gov/pubmed/29911736" xr:uid="{0C7BB478-91DF-0E42-947F-F34D90FEAD3E}"/>
    <hyperlink ref="K132" r:id="rId113" display="https://www.ncbi.nlm.nih.gov/pubmed/30628038" xr:uid="{4AB01332-CFCE-2F43-AFED-1FDC487827C2}"/>
    <hyperlink ref="K133" r:id="rId114" display="https://pubmed.ncbi.nlm.nih.gov/35831840/" xr:uid="{A51FF580-8B0E-6341-87D0-5C59888FAB3F}"/>
    <hyperlink ref="K134" r:id="rId115" display="https://www.ncbi.nlm.nih.gov/pmc/articles/PMC9807021/" xr:uid="{A54558FE-511A-D24A-ADFE-330F71F010DD}"/>
    <hyperlink ref="K89" r:id="rId116" display="http://www.ncbi.nlm.nih.gov/entrez/query.fcgi?cmd=Retrieve&amp;db=PubMed&amp;list_uids=11567214&amp;dopt=Abstract" xr:uid="{0186910D-D1BB-8C40-83F9-6A04281720FC}"/>
    <hyperlink ref="K90" r:id="rId117" display="http://www.ncbi.nlm.nih.gov/pubmed/23364391" xr:uid="{3D2DCA45-DF95-2643-9523-98D271ABBCC9}"/>
    <hyperlink ref="K63" r:id="rId118" display="http://www.ncbi.nlm.nih.gov/entrez/query.fcgi?cmd=Retrieve&amp;db=PubMed&amp;list_uids=15030911&amp;dopt=Abstract" xr:uid="{B00F8FF2-D579-8742-997A-3AA339DAA360}"/>
    <hyperlink ref="K100" r:id="rId119" display="http://www.ncbi.nlm.nih.gov/entrez/query.fcgi?cmd=Retrieve&amp;db=PubMed&amp;list_uids=16217707&amp;dopt=Abstract" xr:uid="{3BB88B13-4015-534F-816A-DBDDCEFD5B9E}"/>
    <hyperlink ref="K64" r:id="rId120" display="http://www.ncbi.nlm.nih.gov/entrez/query.fcgi?cmd=Retrieve&amp;db=PubMed&amp;list_uids=12368989&amp;dopt=Abstract" xr:uid="{3AEBB0A2-B92C-D448-B0B7-7C0BD5BE4B9A}"/>
    <hyperlink ref="K13" r:id="rId121" display="http://www.ncbi.nlm.nih.gov/entrez/query.fcgi?cmd=Retrieve&amp;db=PubMed&amp;list_uids=15732097&amp;dopt=Abstract" xr:uid="{3512CECB-B00A-9B43-A67B-7F7A65E8F141}"/>
    <hyperlink ref="K181" r:id="rId122" display="https://pubmed.ncbi.nlm.nih.gov/34865968/" xr:uid="{F27D7A6F-DF7B-9443-AF66-99E6C7F7F7D5}"/>
    <hyperlink ref="K246" r:id="rId123" display="http://www.ncbi.nlm.nih.gov/entrez/query.fcgi?cmd=Retrieve&amp;db=PubMed&amp;list_uids=19412928&amp;dopt=Abstract" xr:uid="{42F260F5-E03A-F04C-B2F9-19390E52470D}"/>
    <hyperlink ref="K297" r:id="rId124" display="https://pubmed.ncbi.nlm.nih.gov/37703708/" xr:uid="{7E010642-7714-8147-9AF2-9F6C68DB4011}"/>
    <hyperlink ref="K5" r:id="rId125" display="http://eneuro.org/content/2/5/ENEURO.0080-15.2015" xr:uid="{5E0CCE3A-B95E-D741-96DA-4F5F66CF190A}"/>
    <hyperlink ref="K367" r:id="rId126" display="https://pubmed.ncbi.nlm.nih.gov/15732098/" xr:uid="{550F1794-6FE4-F541-B21F-FB8137BE42DA}"/>
    <hyperlink ref="K247" r:id="rId127" display="http://eneuro.org/content/2/5/ENEURO.0080-15.2015" xr:uid="{96EDB3D4-CF43-B647-AB4C-159C80AE59A2}"/>
    <hyperlink ref="K248" r:id="rId128" display="https://www.ncbi.nlm.nih.gov/pubmed/28448978" xr:uid="{AE4A43EB-4750-664E-9565-48224A217944}"/>
    <hyperlink ref="K345" r:id="rId129" display="http://www.ncbi.nlm.nih.gov/pubmed/23706596" xr:uid="{19D5DACD-33FD-9946-8926-4AD32F1FDEF7}"/>
    <hyperlink ref="K344" r:id="rId130" display="https://www.ncbi.nlm.nih.gov/pubmed/28448978" xr:uid="{1FEE7D59-9980-4340-B48B-8FAD623E9043}"/>
    <hyperlink ref="K346" r:id="rId131" display="http://www.ncbi.nlm.nih.gov/entrez/query.fcgi?cmd=Retrieve&amp;db=PubMed&amp;list_uids=16505300&amp;dopt=Abstract" xr:uid="{FF5D071C-02CD-C041-AC22-EBCFEDA5D1DA}"/>
    <hyperlink ref="K347" r:id="rId132" display="https://www.ncbi.nlm.nih.gov/pubmed/28448978" xr:uid="{D461CD57-796B-6B48-B4C3-3352E3447017}"/>
    <hyperlink ref="K348" r:id="rId133" display="https://pubmed.ncbi.nlm.nih.gov/33160717/" xr:uid="{DE9894AB-5431-664C-8210-507094BF4C02}"/>
    <hyperlink ref="K183" r:id="rId134" display="http://www.ncbi.nlm.nih.gov/pubmed/?term=25997626" xr:uid="{0E90C5AC-D463-4D49-A6F3-BF1094CF8479}"/>
    <hyperlink ref="K184" r:id="rId135" display="https://bmcneurol.biomedcentral.com/articles/10.1186/s12883-017-0938-7" xr:uid="{1E54B57A-DDFC-204C-A691-EFB4AAD702B1}"/>
    <hyperlink ref="K185" r:id="rId136" display="https://www.ncbi.nlm.nih.gov/pubmed/30942895" xr:uid="{D641992A-A0EB-7B4B-9D1B-2FF41727D103}"/>
    <hyperlink ref="K199" r:id="rId137" display="https://pubmed.ncbi.nlm.nih.gov/35246666/" xr:uid="{4CF93CA4-C597-1644-A6F6-C3899CF99002}"/>
    <hyperlink ref="K299" r:id="rId138" display="https://pubmed.ncbi.nlm.nih.gov/37495513/" xr:uid="{C51B1BDA-8994-C44E-90EA-C3AC8458E7EC}"/>
    <hyperlink ref="K234" r:id="rId139" display="https://pubmed.ncbi.nlm.nih.gov/32417628/" xr:uid="{CC69F975-CB1F-9642-ADAC-6E25096376EA}"/>
    <hyperlink ref="K201" r:id="rId140" display="https://pubmed.ncbi.nlm.nih.gov/32775528/" xr:uid="{EF57D7C9-BB06-E544-BC3D-3CF825149C60}"/>
    <hyperlink ref="K202" r:id="rId141" display="https://pubmed.ncbi.nlm.nih.gov/34012265/" xr:uid="{EAC404C4-10D8-5C49-9CF5-3AC37B8B0C27}"/>
    <hyperlink ref="K203" r:id="rId142" display="https://www.ncbi.nlm.nih.gov/pmc/articles/PMC8488758/" xr:uid="{92AD95CD-994A-0E42-BDA0-4B14B3542359}"/>
    <hyperlink ref="K22" r:id="rId143" display="http://www.ncbi.nlm.nih.gov/entrez/query.fcgi?cmd=Retrieve&amp;db=PubMed&amp;list_uids=15732097&amp;dopt=Abstract" xr:uid="{31095682-9455-2645-9F08-3A2D3C8A9840}"/>
    <hyperlink ref="K204" r:id="rId144" display="https://www.ncbi.nlm.nih.gov/pubmed/29095329" xr:uid="{DB4AE242-3F61-2C46-8E50-D5CF7F6A0213}"/>
    <hyperlink ref="K27" r:id="rId145" display="http://www.ncbi.nlm.nih.gov/entrez/query.fcgi?cmd=Retrieve&amp;db=PubMed&amp;list_uids=15732097&amp;dopt=Abstract" xr:uid="{F5DB3968-5E31-E946-B406-E698AB67359B}"/>
    <hyperlink ref="K107" r:id="rId146" display="http://www.ncbi.nlm.nih.gov/entrez/query.fcgi?cmd=Retrieve&amp;db=PubMed&amp;list_uids=16217707&amp;dopt=Abstract" xr:uid="{49EFF96B-0144-0747-83A2-F63656C703ED}"/>
    <hyperlink ref="K108" r:id="rId147" display="http://www.ncbi.nlm.nih.gov/entrez/query.fcgi?cmd=Retrieve&amp;db=PubMed&amp;list_uids=16505300&amp;dopt=Abstract" xr:uid="{B0187431-20F5-4C4C-81BB-82DEB3C6EE2C}"/>
    <hyperlink ref="K109" r:id="rId148" display="https://www.ncbi.nlm.nih.gov/pmc/articles/PMC5764465/" xr:uid="{71157DEA-0BA8-FE43-998C-2051550AA6D2}"/>
    <hyperlink ref="K51" r:id="rId149" display="http://www.ncbi.nlm.nih.gov/entrez/query.fcgi?cmd=Retrieve&amp;db=PubMed&amp;list_uids=12944715&amp;dopt=Abstract" xr:uid="{EE560AA7-3620-A94F-B8E8-7802E33A696E}"/>
    <hyperlink ref="K250" r:id="rId150" display="http://eneuro.org/content/2/5/ENEURO.0080-15.2015" xr:uid="{7665451E-1543-5040-9DC8-3C05AFEA4CB0}"/>
    <hyperlink ref="K24" r:id="rId151" display="http://www.ncbi.nlm.nih.gov/entrez/query.fcgi?cmd=Retrieve&amp;db=PubMed&amp;list_uids=15732097&amp;dopt=Abstract" xr:uid="{C6415D41-3290-594D-9856-B3B43E6D1BDC}"/>
    <hyperlink ref="K25" r:id="rId152" display="http://www.ncbi.nlm.nih.gov/entrez/query.fcgi?cmd=Retrieve&amp;db=PubMed&amp;list_uids=15732097&amp;dopt=Abstract" xr:uid="{1FB3C1A0-8F2D-DC4A-812D-5B492F7ED918}"/>
    <hyperlink ref="K240" r:id="rId153" display="http://www.ncbi.nlm.nih.gov/pubmed?term=21917775" xr:uid="{99FEF12C-727C-034D-8FDB-92AA607521E0}"/>
    <hyperlink ref="K135" r:id="rId154" display="http://www.ncbi.nlm.nih.gov/entrez/query.fcgi?cmd=Retrieve&amp;db=PubMed&amp;list_uids=11138011&amp;dopt=Abstract" xr:uid="{68483C42-4D6D-CC47-A9AF-828FBE8112A7}"/>
    <hyperlink ref="K136" r:id="rId155" display="http://www.ncbi.nlm.nih.gov/entrez/query.fcgi?cmd=Retrieve&amp;db=PubMed&amp;list_uids=12034785&amp;dopt=Abstract" xr:uid="{687086A5-CA13-5249-953E-56E272D4CCBD}"/>
    <hyperlink ref="K137" r:id="rId156" display="http://www.ncbi.nlm.nih.gov/entrez/query.fcgi?cmd=Retrieve&amp;db=PubMed&amp;list_uids=12368989&amp;dopt=Abstract" xr:uid="{4BCC3D51-A872-5C44-81B4-3AF0D175774B}"/>
    <hyperlink ref="K138" r:id="rId157" display="http://www.ncbi.nlm.nih.gov/entrez/query.fcgi?cmd=Retrieve&amp;db=PubMed&amp;list_uids=11567214&amp;dopt=Abstract" xr:uid="{BA360A40-E924-E849-9721-B0A4ADA7EDDC}"/>
    <hyperlink ref="K139" r:id="rId158" display="http://www.ncbi.nlm.nih.gov/entrez/query.fcgi?cmd=Retrieve&amp;db=PubMed&amp;list_uids=11587071&amp;dopt=Abstract" xr:uid="{ECE6BE11-EB44-EB49-A8D7-FB47787062A1}"/>
    <hyperlink ref="K140" r:id="rId159" display="http://www.ncbi.nlm.nih.gov/entrez/query.fcgi?cmd=Retrieve&amp;db=PubMed&amp;list_uids=12026242&amp;dopt=Abstract" xr:uid="{6CF0F3C4-3243-8545-BDD1-EE2009C9CE43}"/>
    <hyperlink ref="K141" r:id="rId160" display="http://www.ncbi.nlm.nih.gov/entrez/query.fcgi?cmd=Retrieve&amp;db=PubMed&amp;list_uids=12581808&amp;dopt=Abstract" xr:uid="{339AD0E6-D5FC-F84F-BC16-C0A161D9663A}"/>
    <hyperlink ref="K38" r:id="rId161" display="http://www.ncbi.nlm.nih.gov/entrez/query.fcgi?cmd=Retrieve&amp;db=PubMed&amp;list_uids=15732097&amp;dopt=Abstract" xr:uid="{42A6F08C-A4D0-A14E-B028-74609CB79ECF}"/>
    <hyperlink ref="K142" r:id="rId162" display="http://www.ncbi.nlm.nih.gov/pubmed?term=21572052%5bPMID%5d" xr:uid="{2DF0401D-3DF0-A94C-A9EC-F3048BFD637A}"/>
    <hyperlink ref="K143" r:id="rId163" display="http://www.ncbi.nlm.nih.gov/pubmed?term=21917775" xr:uid="{A828EF4B-6CE2-2648-B862-8F97B74DBB28}"/>
    <hyperlink ref="K144" r:id="rId164" display="http://www.ncbi.nlm.nih.gov/pubmed/23364391" xr:uid="{3F954CF9-0D70-474B-9BFB-B7306DB9D9E3}"/>
    <hyperlink ref="K37" r:id="rId165" display="http://eneuro.org/content/2/5/ENEURO.0080-15.2015" xr:uid="{000E9FD2-214B-B944-B95E-1E4595FD13D6}"/>
    <hyperlink ref="K145" r:id="rId166" display="https://pubmed.ncbi.nlm.nih.gov/32143223" xr:uid="{B22AA4B5-64A7-2148-BBC5-0A9A2B54A5A3}"/>
    <hyperlink ref="K146" r:id="rId167" display="https://pubmed.ncbi.nlm.nih.gov/34146839/" xr:uid="{6D755FF4-AC52-8A4B-A41A-E39A0D0A357F}"/>
    <hyperlink ref="K147" r:id="rId168" display="https://pubmed.ncbi.nlm.nih.gov/34678550/" xr:uid="{DC3617B7-196A-B448-85D4-BC59C5BA358F}"/>
    <hyperlink ref="K301" r:id="rId169" display="http://www.ncbi.nlm.nih.gov/pubmed/21940697" xr:uid="{A205C4F7-23B9-5C4E-951F-E709004CE3C1}"/>
    <hyperlink ref="K302" r:id="rId170" display="http://www.ncbi.nlm.nih.gov/pubmed/24306001" xr:uid="{1441A20F-937E-6743-BDA6-C08F7A4BB6F1}"/>
    <hyperlink ref="K303" r:id="rId171" display="https://n.neurology.org/content/96/5/e814.long" xr:uid="{6927E4B7-270E-6940-AA7C-FD585CB5CBD6}"/>
    <hyperlink ref="K70" r:id="rId172" display="http://www.ncbi.nlm.nih.gov/entrez/query.fcgi?cmd=Retrieve&amp;db=PubMed&amp;list_uids=11138011&amp;dopt=Abstract" xr:uid="{6EC583F9-7E8D-954D-93BD-AF82DDEB13FB}"/>
    <hyperlink ref="K71" r:id="rId173" display="http://www.ncbi.nlm.nih.gov/entrez/query.fcgi?cmd=Retrieve&amp;db=PubMed&amp;list_uids=11567214&amp;dopt=Abstract" xr:uid="{FF917494-8028-6444-B7BA-5DD02D17186E}"/>
    <hyperlink ref="K18" r:id="rId174" display="http://www.ncbi.nlm.nih.gov/entrez/query.fcgi?cmd=Retrieve&amp;db=PubMed&amp;list_uids=15732097&amp;dopt=Abstract" xr:uid="{97A45939-4D89-9F44-A08E-834396A5DED7}"/>
    <hyperlink ref="K73" r:id="rId175" display="http://www.ncbi.nlm.nih.gov/entrez/query.fcgi?cmd=Retrieve&amp;db=PubMed&amp;list_uids=17894839&amp;dopt=Abstract" xr:uid="{C04F38F8-285B-A241-B6E8-E2AADFFFCA64}"/>
    <hyperlink ref="K74" r:id="rId176" display="http://www.ncbi.nlm.nih.gov/pubmed?term=21917775" xr:uid="{AA64613A-F6E0-E44D-973A-06868D7395EB}"/>
    <hyperlink ref="K75" r:id="rId177" display="http://www.ncbi.nlm.nih.gov/pubmed/24427505" xr:uid="{41C6ADCB-FE27-5F47-8AC8-5147A294924A}"/>
    <hyperlink ref="K76" r:id="rId178" display="http://www.ncbi.nlm.nih.gov/pubmed/23364391" xr:uid="{B69C6D34-CDBD-3945-B38C-90585B02C01A}"/>
    <hyperlink ref="K77" r:id="rId179" display="http://www.ncbi.nlm.nih.gov/pubmed/25584279" xr:uid="{A197FCB1-102D-0343-BE77-3746663CE56D}"/>
    <hyperlink ref="K17" r:id="rId180" display="http://eneuro.org/content/2/5/ENEURO.0080-15.2015" xr:uid="{87F9BC6C-E3EB-D140-A55D-BB5010683B00}"/>
    <hyperlink ref="K78" r:id="rId181" display="https://pubmed.ncbi.nlm.nih.gov/29421207/" xr:uid="{8D6920FD-73C0-6842-9E17-84CD26EE6479}"/>
    <hyperlink ref="K79" r:id="rId182" display="http://www.ncbi.nlm.nih.gov/entrez/query.fcgi?cmd=Retrieve&amp;db=PubMed&amp;list_uids=17043438&amp;dopt=Abstract" xr:uid="{D10FE7BE-096B-4D40-B513-9B1213C1E2EE}"/>
    <hyperlink ref="K80" r:id="rId183" display="http://www.ncbi.nlm.nih.gov/pubmed/21041050" xr:uid="{2935E429-8B63-C743-B2DE-CA9B827F2A94}"/>
    <hyperlink ref="K81" r:id="rId184" display="http://www.ncbi.nlm.nih.gov/pubmed?term=21917775" xr:uid="{338C7358-83C7-C449-A944-C0B79F8A4883}"/>
    <hyperlink ref="K82" r:id="rId185" display="https://pubmed.ncbi.nlm.nih.gov/35040226/" xr:uid="{AABB8DAF-1325-5F46-8872-27D335C47134}"/>
    <hyperlink ref="K110" r:id="rId186" display="http://www.ncbi.nlm.nih.gov/entrez/query.fcgi?cmd=Retrieve&amp;db=PubMed&amp;list_uids=12368989&amp;dopt=Abstract" xr:uid="{35025C57-7F86-384D-90CB-8A549C55328A}"/>
    <hyperlink ref="K111" r:id="rId187" display="http://www.ncbi.nlm.nih.gov/entrez/query.fcgi?cmd=Retrieve&amp;db=PubMed&amp;list_uids=17894839&amp;dopt=Abstract" xr:uid="{621FF00D-FCC2-CE45-8048-33D74607D037}"/>
    <hyperlink ref="K28" r:id="rId188" display="http://eneuro.org/content/2/5/ENEURO.0080-15.2015" xr:uid="{8437321B-52F8-594B-A099-289F8192D09F}"/>
    <hyperlink ref="K91" r:id="rId189" display="http://www.ncbi.nlm.nih.gov/entrez/query.fcgi?cmd=Retrieve&amp;db=PubMed&amp;list_uids=12034785&amp;dopt=Abstract" xr:uid="{2210DBDB-606B-D340-8245-812802C67A91}"/>
    <hyperlink ref="K373" r:id="rId190" display="https://pubmed.ncbi.nlm.nih.gov/30363563/" xr:uid="{E2458E96-B8B4-A949-98AB-2A10FDDE7ABA}"/>
    <hyperlink ref="K205" r:id="rId191" display="https://www.ncbi.nlm.nih.gov/pmc/articles/PMC5498426/" xr:uid="{E99313F8-3751-EA4F-97D9-767558481D49}"/>
    <hyperlink ref="K93" r:id="rId192" display="http://www.ncbi.nlm.nih.gov/entrez/query.fcgi?cmd=Retrieve&amp;db=PubMed&amp;list_uids=11595337&amp;dopt=Abstract" xr:uid="{DF53CFC4-7F0E-3344-A5C9-726C69AE6AA3}"/>
    <hyperlink ref="K94" r:id="rId193" display="http://www.ncbi.nlm.nih.gov/entrez/query.fcgi?cmd=Retrieve&amp;db=PubMed&amp;list_uids=15732097&amp;dopt=Abstract" xr:uid="{3367F653-92AE-B644-B239-966B71884EC8}"/>
    <hyperlink ref="K95" r:id="rId194" display="https://www.ncbi.nlm.nih.gov/pubmed/28448978" xr:uid="{A20E6A37-ED2B-844D-8BBE-9CF0F941A3B0}"/>
    <hyperlink ref="K96" r:id="rId195" display="https://www.ncbi.nlm.nih.gov/pubmed/28681773" xr:uid="{85E3EC49-FBF8-3B45-9B86-C4E931AA5E6E}"/>
    <hyperlink ref="K349" r:id="rId196" display="https://pubmed.ncbi.nlm.nih.gov/34245630/" xr:uid="{D13ECFBC-5919-6B4B-94B4-30BC68D93AE0}"/>
    <hyperlink ref="K6" r:id="rId197" display="http://www.ncbi.nlm.nih.gov/entrez/query.fcgi?cmd=Retrieve&amp;db=PubMed&amp;list_uids=15732097&amp;dopt=Abstract" xr:uid="{8CB9F663-77C1-2549-BB75-CD3AC4EF6AA6}"/>
    <hyperlink ref="K374" r:id="rId198" display="http://www.ncbi.nlm.nih.gov/entrez/query.fcgi?cmd=Retrieve&amp;db=PubMed&amp;list_uids=17960815&amp;dopt=Abstract" xr:uid="{3C9D3C92-7B25-A04F-8752-A60EA36FA88B}"/>
    <hyperlink ref="K304" r:id="rId199" display="http://www.ncbi.nlm.nih.gov/pubmed?term=20849398%5buid%5d&amp;cmd=DetailsSearch" xr:uid="{8C6F955C-15FD-DD44-B8FA-A9086BE40D7D}"/>
    <hyperlink ref="K305" r:id="rId200" display="http://www.ncbi.nlm.nih.gov/pubmed/23925719" xr:uid="{88FE132F-5393-484E-84CB-28784D4538A4}"/>
    <hyperlink ref="K306" r:id="rId201" display="https://www.ncbi.nlm.nih.gov/pubmed/29431177" xr:uid="{02CBD47B-DE93-4E4D-8781-BDD5DF9F9A54}"/>
    <hyperlink ref="K310" r:id="rId202" display="https://www.ncbi.nlm.nih.gov/pubmed/29911736" xr:uid="{C9737BFB-6ED1-2A4E-AD56-0C75360347A8}"/>
    <hyperlink ref="K307" r:id="rId203" display="https://www.ncbi.nlm.nih.gov/pubmed/31611638" xr:uid="{83200401-7443-3A4E-AD2E-5E55B279316F}"/>
    <hyperlink ref="K308" r:id="rId204" display="https://pubmed.ncbi.nlm.nih.gov/34245630/" xr:uid="{2C4636DD-419A-2D41-B426-2AD54C3FC5EB}"/>
    <hyperlink ref="K309" r:id="rId205" display="https://pubmed.ncbi.nlm.nih.gov/38443058/" xr:uid="{311CB58E-4B83-FE46-8E9B-71136B8D106F}"/>
    <hyperlink ref="K311" r:id="rId206" display="https://www.ncbi.nlm.nih.gov/pmc/articles/PMC5764465/" xr:uid="{8BB01EDA-0EE0-0843-8777-60556AA23B9B}"/>
    <hyperlink ref="K83" r:id="rId207" display="http://www.ncbi.nlm.nih.gov/entrez/query.fcgi?cmd=Retrieve&amp;db=PubMed&amp;list_uids=11138011&amp;dopt=Abstract" xr:uid="{8FC1849B-8C39-C74E-AF57-4E090EF08FAC}"/>
    <hyperlink ref="K19" r:id="rId208" display="http://eneuro.org/content/2/5/ENEURO.0080-15.2015" xr:uid="{3877754F-93AB-6445-B5D7-88A11F2A406C}"/>
    <hyperlink ref="K241" r:id="rId209" display="https://www.ncbi.nlm.nih.gov/pubmed/30755773" xr:uid="{1B350DBF-9FD5-D643-AE55-917AD1983B28}"/>
    <hyperlink ref="K251" r:id="rId210" display="http://www.ncbi.nlm.nih.gov/pubmed/20562394" xr:uid="{2CE5ADD4-AE5C-A14D-8642-4EF39C9CE6A0}"/>
    <hyperlink ref="K252" r:id="rId211" display="http://www.ncbi.nlm.nih.gov/pubmed/24306001" xr:uid="{483C060B-A0F5-3A4C-9373-5D6BDAEE6E56}"/>
    <hyperlink ref="K174" r:id="rId212" display="http://www.ncbi.nlm.nih.gov/entrez/query.fcgi?cmd=Retrieve&amp;db=PubMed&amp;list_uids=17805552&amp;dopt=Abstract" xr:uid="{1B0119AE-18E3-F94B-8493-092504E009D2}"/>
    <hyperlink ref="K175" r:id="rId213" display="http://www.ncbi.nlm.nih.gov/pubmed/25422405" xr:uid="{8E1186C3-C165-DD41-81B4-D7760D0CF09F}"/>
    <hyperlink ref="K176" r:id="rId214" display="http://www.ncbi.nlm.nih.gov/pubmed/23903069" xr:uid="{81BBA9E3-7E53-9C45-B259-E5B7231A9255}"/>
    <hyperlink ref="K177" r:id="rId215" display="https://www.ncbi.nlm.nih.gov/pubmed/28448978" xr:uid="{367805F8-C9A5-FC4F-91E9-39F9960939D2}"/>
    <hyperlink ref="K314" r:id="rId216" display="http://www.ncbi.nlm.nih.gov/pubmed/26914930" xr:uid="{C89FBD37-DC25-EA49-8DB4-53CF7DE4B10C}"/>
    <hyperlink ref="K312" r:id="rId217" display="http://eneuro.org/content/2/5/ENEURO.0080-15.2015" xr:uid="{F4B49416-B17B-AE4B-9F1C-A8198DC2FCA4}"/>
    <hyperlink ref="K315" r:id="rId218" display="http://www.ncbi.nlm.nih.gov/pubmed/26023202" xr:uid="{BACAF717-481A-874A-AA2C-2D7E9623D100}"/>
    <hyperlink ref="K316" r:id="rId219" display="http://www.ncbi.nlm.nih.gov/entrez/query.fcgi?cmd=Retrieve&amp;db=PubMed&amp;list_uids=12447932&amp;dopt=Abstract" xr:uid="{88957EF5-FFF0-D043-B437-C43DF5045E16}"/>
    <hyperlink ref="K317" r:id="rId220" display="http://www.ncbi.nlm.nih.gov/pubmed/20359319" xr:uid="{EF858B17-EDA5-FB45-A0DE-1D6B53268795}"/>
    <hyperlink ref="K318" r:id="rId221" display="http://www.ncbi.nlm.nih.gov/pubmed/22198646" xr:uid="{BD84FD2C-B967-3A4E-A0F1-EE8EA6FD403B}"/>
    <hyperlink ref="K319" r:id="rId222" display="https://www.ncbi.nlm.nih.gov/pubmed/31611638" xr:uid="{7C1317DB-0C74-C84F-B05A-5C0E8D431680}"/>
    <hyperlink ref="K320" r:id="rId223" display="https://pubmed.ncbi.nlm.nih.gov/33134518/" xr:uid="{731E1B61-A65A-7A49-AFE4-D52DD305F4F9}"/>
    <hyperlink ref="K321" r:id="rId224" display="https://pubmed.ncbi.nlm.nih.gov/33863523/" xr:uid="{4F6C7CBD-3A3D-144C-8090-073CD9520956}"/>
    <hyperlink ref="K242" r:id="rId225" display="http://www.ncbi.nlm.nih.gov/entrez/query.fcgi?cmd=Retrieve&amp;db=PubMed&amp;list_uids=15732097&amp;dopt=Abstract" xr:uid="{71D0F9E5-DE6F-0442-9D22-F9482F1189BB}"/>
    <hyperlink ref="K186" r:id="rId226" display="http://www.ncbi.nlm.nih.gov/pubmed/26023202" xr:uid="{B96C2C0B-6602-9541-A1E1-ABEEE2A28FFD}"/>
    <hyperlink ref="K235" r:id="rId227" display="https://pubmed.ncbi.nlm.nih.gov/34245630/" xr:uid="{D686AE2E-00AB-F54A-AE0C-C66D269712EC}"/>
    <hyperlink ref="K231" r:id="rId228" display="https://www.ncbi.nlm.nih.gov/pubmed/28448978" xr:uid="{D4B1CD56-5CCC-CA43-9827-31818EED6FEB}"/>
    <hyperlink ref="K206" r:id="rId229" display="http://www.ncbi.nlm.nih.gov/pubmed/24755947" xr:uid="{00A5551A-A02A-714F-88C3-FADC31A84475}"/>
    <hyperlink ref="K207" r:id="rId230" display="http://www.ncbi.nlm.nih.gov/pubmed/26719496" xr:uid="{DBDF1263-A680-DA4E-AB96-7A3F919930A2}"/>
    <hyperlink ref="K208" r:id="rId231" display="https://pubmed.ncbi.nlm.nih.gov/34039724/" xr:uid="{C4050FC4-B166-8245-ACED-0856EA68FDAF}"/>
    <hyperlink ref="K323" r:id="rId232" display="https://www.ncbi.nlm.nih.gov/pubmed/30046660" xr:uid="{AADD233D-72B1-1742-9B1A-DED087518FF0}"/>
    <hyperlink ref="K57" r:id="rId233" display="http://www.ncbi.nlm.nih.gov/entrez/query.fcgi?cmd=Retrieve&amp;db=PubMed&amp;list_uids=15465095&amp;dopt=Abstract" xr:uid="{7F0643F9-2E7F-4346-876D-2E23D13B77D3}"/>
    <hyperlink ref="K209" r:id="rId234" display="http://www.ncbi.nlm.nih.gov/pubmed/20964669" xr:uid="{2C69A08C-08C4-904C-A21B-70CF8431D8A7}"/>
    <hyperlink ref="K322" r:id="rId235" display="http://www.ncbi.nlm.nih.gov/entrez/query.fcgi?cmd=Retrieve&amp;db=PubMed&amp;list_uids=18004641&amp;dopt=Abstract" xr:uid="{5844C093-D1F1-3448-909D-A02F6A8FD2AA}"/>
    <hyperlink ref="K210" r:id="rId236" display="https://www.jstage.jst.go.jp/article/internalmedicine/63/2/63_1726-23/_article" xr:uid="{ACFED65E-9181-D845-8E3F-64FD9D1C4EDE}"/>
    <hyperlink ref="K255" r:id="rId237" display="http://www.ncbi.nlm.nih.gov/pubmed/26285664" xr:uid="{841756D9-72CF-714A-B819-AC09A6677D65}"/>
    <hyperlink ref="K256" r:id="rId238" display="https://pubmed.ncbi.nlm.nih.gov/34928305/" xr:uid="{1B926CDD-7CE8-5943-ACF6-9463D7E59F62}"/>
    <hyperlink ref="K173" r:id="rId239" display="http://www.ncbi.nlm.nih.gov/entrez/query.fcgi?cmd=Retrieve&amp;db=PubMed&amp;list_uids=15732097&amp;dopt=Abstract" xr:uid="{226ECCDA-D31B-0A45-B4DD-1B3F21E9D8E7}"/>
    <hyperlink ref="K187" r:id="rId240" display="http://www.ncbi.nlm.nih.gov/pubmed/21132324" xr:uid="{07ECA7CC-4591-5D4C-AC89-1BD21A44B872}"/>
    <hyperlink ref="K257" r:id="rId241" display="https://pubmed.ncbi.nlm.nih.gov/35363250/" xr:uid="{DE1F4E25-5CEE-644B-B3B7-DD7DB5E50623}"/>
    <hyperlink ref="K259" r:id="rId242" display="http://www.ncbi.nlm.nih.gov/entrez/query.fcgi?cmd=Retrieve&amp;db=PubMed&amp;list_uids=19418047&amp;dopt=Abstract" xr:uid="{0C2D927B-D41D-3D45-9ED9-726F4559AAD8}"/>
    <hyperlink ref="K260" r:id="rId243" display="http://www.ncbi.nlm.nih.gov/pubmed?term=20849398%5buid%5d&amp;cmd=DetailsSearch" xr:uid="{A02C293D-4AB1-0B41-AA73-AA3A74B48C54}"/>
    <hyperlink ref="K261" r:id="rId244" display="https://www.ncbi.nlm.nih.gov/pubmed/28448978" xr:uid="{BBF5CDD3-7F4D-2447-866B-8198BEB75E09}"/>
    <hyperlink ref="K178" r:id="rId245" display="https://www.ncbi.nlm.nih.gov/pubmed/31744992" xr:uid="{C81474C2-E108-4746-B521-286BC1AD1132}"/>
    <hyperlink ref="K52" r:id="rId246" display="http://www.ncbi.nlm.nih.gov/entrez/query.fcgi?cmd=Retrieve&amp;db=PubMed&amp;list_uids=17110673&amp;dopt=Abstract" xr:uid="{E594406E-63A3-524F-9CCB-EF7084CAE5A6}"/>
    <hyperlink ref="K263" r:id="rId247" display="https://www.ncbi.nlm.nih.gov/pubmed/31039531" xr:uid="{84B52A8F-2832-E94D-A461-6BC63B7DC054}"/>
    <hyperlink ref="K264" r:id="rId248" display="https://pubmed.ncbi.nlm.nih.gov/37474302/" xr:uid="{AF6584FC-ACC0-8341-A789-60A6F01743A3}"/>
    <hyperlink ref="K26" r:id="rId249" display="http://www.ncbi.nlm.nih.gov/entrez/query.fcgi?cmd=Retrieve&amp;db=PubMed&amp;list_uids=15732097&amp;dopt=Abstract" xr:uid="{4AD34CDE-2235-8943-9FEF-61524D06C2CA}"/>
    <hyperlink ref="K98" r:id="rId250" display="http://www.ncbi.nlm.nih.gov/pubmed/22566711" xr:uid="{5117F034-4CFA-FE4E-838F-4001518FB91C}"/>
    <hyperlink ref="K188" r:id="rId251" display="http://www.ncbi.nlm.nih.gov/pubmed/25410460" xr:uid="{40FA3677-31D2-1346-8E60-6678D2EEED4B}"/>
    <hyperlink ref="K189" r:id="rId252" display="https://www.ncbi.nlm.nih.gov/pubmed/31611638" xr:uid="{913955E4-08CD-3440-891B-7021179C32F0}"/>
    <hyperlink ref="K190" r:id="rId253" display="http://www.ncbi.nlm.nih.gov/entrez/query.fcgi?cmd=Retrieve&amp;db=PubMed&amp;list_uids=16774812&amp;dopt=Abstract" xr:uid="{83A19F7E-6550-4844-A429-98CAAD674B23}"/>
    <hyperlink ref="K97" r:id="rId254" display="http://www.ncbi.nlm.nih.gov/entrez/query.fcgi?cmd=Retrieve&amp;db=PubMed&amp;list_uids=12034796&amp;dopt=Abstract" xr:uid="{6D8260DE-147F-CD43-B2A0-DCC07C5BDB72}"/>
    <hyperlink ref="K211" r:id="rId255" display="http://www.ncbi.nlm.nih.gov/pubmed/23903069" xr:uid="{5E9B930B-CA36-8B49-99A7-FF46FCA15E0C}"/>
    <hyperlink ref="K212" r:id="rId256" display="https://pubmed.ncbi.nlm.nih.gov/33395615/" xr:uid="{B2FF6473-9099-9242-9568-93D8A8ADE7D7}"/>
    <hyperlink ref="K213" r:id="rId257" display="http://eneuro.org/content/2/5/ENEURO.0080-15.2015" xr:uid="{82ABAF2E-7BC3-A946-8D60-A12830EE9D3D}"/>
    <hyperlink ref="K236" r:id="rId258" display="https://pubmed.ncbi.nlm.nih.gov/36153801/" xr:uid="{DBE6A2C2-7FD4-2949-865B-FB9E9B0F5684}"/>
    <hyperlink ref="K237" r:id="rId259" display="https://www.ncbi.nlm.nih.gov/pubmed/29057636" xr:uid="{F9CEB29B-7417-1B4B-8E49-7E3012DF1693}"/>
    <hyperlink ref="K7" r:id="rId260" display="http://www.ncbi.nlm.nih.gov/entrez/query.fcgi?cmd=Retrieve&amp;db=PubMed&amp;list_uids=15732097&amp;dopt=Abstract" xr:uid="{82197A9C-2604-4A44-B887-2A342698BF59}"/>
    <hyperlink ref="K179" r:id="rId261" display="http://www.ncbi.nlm.nih.gov/entrez/query.fcgi?cmd=Retrieve&amp;db=PubMed&amp;list_uids=17985264&amp;dopt=Abstract" xr:uid="{8EA639D2-1233-594E-AF6A-DC3E2F586DE4}"/>
    <hyperlink ref="K180" r:id="rId262" display="https://pubmed.ncbi.nlm.nih.gov/34012265/" xr:uid="{5EDBA474-6834-FC49-BAE1-398C0A340025}"/>
    <hyperlink ref="K375" r:id="rId263" display="http://www.ncbi.nlm.nih.gov/entrez/query.fcgi?cmd=Retrieve&amp;db=PubMed&amp;list_uids=17985264&amp;dopt=Abstract" xr:uid="{3FF81BAD-92E7-CF48-AE6B-94754FC531C5}"/>
    <hyperlink ref="K376" r:id="rId264" display="https://pubmed.ncbi.nlm.nih.gov/35003479/" xr:uid="{317CA3CA-482F-294C-9A49-BD4FEE99ED90}"/>
    <hyperlink ref="K21" r:id="rId265" display="http://www.ncbi.nlm.nih.gov/entrez/query.fcgi?cmd=Retrieve&amp;db=PubMed&amp;list_uids=15732097&amp;dopt=Abstract" xr:uid="{B0A1995E-9BA6-B44C-A307-785751ECE0AF}"/>
    <hyperlink ref="K265" r:id="rId266" display="https://www.ncbi.nlm.nih.gov/pubmed/29801191" xr:uid="{79298E28-692D-9145-9EC5-4F9EBF49626D}"/>
    <hyperlink ref="K53" r:id="rId267" display="http://www.ncbi.nlm.nih.gov/entrez/query.fcgi?cmd=Retrieve&amp;db=PubMed&amp;list_uids=16168595&amp;dopt=Abstract" xr:uid="{B96EC635-BAEF-3448-85BE-B3101C9B604E}"/>
    <hyperlink ref="K214" r:id="rId268" display="http://www.ncbi.nlm.nih.gov/pubmed?term=21917775" xr:uid="{E1AA203D-AE1C-0549-8534-F47D765CF9FE}"/>
    <hyperlink ref="K215" r:id="rId269" display="http://eneuro.org/content/2/5/ENEURO.0080-15.2015" xr:uid="{54BCFE20-D1DA-E344-8662-04D5109BEFCE}"/>
    <hyperlink ref="K216" r:id="rId270" display="http://www.ncbi.nlm.nih.gov/pubmed?term=21917775" xr:uid="{F94BA28E-F68A-8847-A013-1F0C5EE44E11}"/>
    <hyperlink ref="K217" r:id="rId271" display="http://www.ncbi.nlm.nih.gov/pubmed/24306001" xr:uid="{0A5E75D6-A9BA-E64F-AA2D-5DA58D7E9E7E}"/>
    <hyperlink ref="K218" r:id="rId272" display="http://eneuro.org/content/2/5/ENEURO.0080-15.2015" xr:uid="{8AC24922-11CD-EB44-9C6B-1BF6BEBFA513}"/>
    <hyperlink ref="K219" r:id="rId273" display="http://www.ncbi.nlm.nih.gov/pubmed/23364391" xr:uid="{E6DC6597-C533-984A-948D-0FB8EDC04F63}"/>
    <hyperlink ref="K54" r:id="rId274" display="http://www.ncbi.nlm.nih.gov/entrez/query.fcgi?cmd=Retrieve&amp;db=PubMed&amp;list_uids=12034785&amp;dopt=Abstract" xr:uid="{AC60E453-2B4F-1C41-9714-D29D4ED9A39C}"/>
    <hyperlink ref="K8" r:id="rId275" display="http://www.ncbi.nlm.nih.gov/entrez/query.fcgi?cmd=Retrieve&amp;db=PubMed&amp;list_uids=15732097&amp;dopt=Abstract" xr:uid="{FD6FA8D6-06CA-9548-8492-9BE5ECE50E4F}"/>
    <hyperlink ref="K55" r:id="rId276" display="http://www.ncbi.nlm.nih.gov/entrez/query.fcgi?cmd=Retrieve&amp;db=PubMed&amp;list_uids=18402384&amp;dopt=Abstract" xr:uid="{FF1611EA-9C7B-AA4F-A23B-F45340231586}"/>
    <hyperlink ref="K56" r:id="rId277" display="http://www.ncbi.nlm.nih.gov/pubmed?term=21917775" xr:uid="{A491CEB0-6BD3-4141-A1C4-6C1CE7DEEAC0}"/>
    <hyperlink ref="K9" r:id="rId278" display="http://www.ncbi.nlm.nih.gov/entrez/query.fcgi?cmd=Retrieve&amp;db=PubMed&amp;list_uids=15732097&amp;dopt=Abstract" xr:uid="{687D241B-B4EA-7643-A724-ECF5FFDA6405}"/>
    <hyperlink ref="K220" r:id="rId279" display="https://pubmed.ncbi.nlm.nih.gov/34245630/" xr:uid="{A4B9C9C5-647B-B34E-BF3C-E1D14C32631F}"/>
    <hyperlink ref="K221" r:id="rId280" display="http://www.ncbi.nlm.nih.gov/pubmed/23364391" xr:uid="{4037FE9E-39C3-944A-896A-1853525FE6D0}"/>
    <hyperlink ref="K328" r:id="rId281" display="https://www.ncbi.nlm.nih.gov/pubmed/32223977" xr:uid="{8AAAFC24-CF73-A046-961F-A5618EC06B32}"/>
    <hyperlink ref="K327" r:id="rId282" display="https://pubmed.ncbi.nlm.nih.gov/38797659/" xr:uid="{BD1D01F0-C7C6-D749-88A6-F2831477E72B}"/>
    <hyperlink ref="K101" r:id="rId283" display="http://www.ncbi.nlm.nih.gov/entrez/query.fcgi?cmd=Retrieve&amp;db=PubMed&amp;list_uids=18217876&amp;dopt=Abstract" xr:uid="{9D751FF9-EF87-C541-80AD-1DFDAD7A1BF5}"/>
    <hyperlink ref="K102" r:id="rId284" display="http://www.ncbi.nlm.nih.gov/pubmed?term=21917775" xr:uid="{33A54CBC-08B3-6449-8E11-3B60646B7C81}"/>
    <hyperlink ref="K103" r:id="rId285" display="http://www.ncbi.nlm.nih.gov/pubmed/23149175" xr:uid="{909FAF63-1519-B046-A022-5A1F8708B750}"/>
    <hyperlink ref="K104" r:id="rId286" display="https://www.ncbi.nlm.nih.gov/pubmed/27648269" xr:uid="{CA8A9DA9-F6F4-2E4E-99E5-9B58F909890E}"/>
    <hyperlink ref="K362" r:id="rId287" display="http://www.ncbi.nlm.nih.gov/pubmed/21165639" xr:uid="{EDA50A25-B622-7E47-9F92-1CAAA69FE22C}"/>
    <hyperlink ref="K351" r:id="rId288" display="http://www.ncbi.nlm.nih.gov/pubmed/24306001" xr:uid="{D8ED6E90-A778-7245-A1D6-F6B6B2533F87}"/>
    <hyperlink ref="K352" r:id="rId289" display="http://www.ncbi.nlm.nih.gov/pubmed/26285664" xr:uid="{6D3914CF-CB83-7F47-97A1-0985585C4BEB}"/>
    <hyperlink ref="K353" r:id="rId290" display="http://www.ncbi.nlm.nih.gov/pubmed/22818990" xr:uid="{6375F48A-01AE-D345-8C4B-63DE06967C37}"/>
    <hyperlink ref="K354" r:id="rId291" display="http://www.ncbi.nlm.nih.gov/pubmed/23364391" xr:uid="{3E2DA623-5AF7-394C-A543-C68F57BEB7E6}"/>
    <hyperlink ref="K281" r:id="rId292" display="https://www.ncbi.nlm.nih.gov/pubmed/30755139" xr:uid="{1085512A-1E1B-1340-86B1-F913D4039CD1}"/>
    <hyperlink ref="K282" r:id="rId293" display="https://pubmed.ncbi.nlm.nih.gov/34800814/" xr:uid="{9A215475-E5D1-9C41-A321-3F2EA63BFE65}"/>
    <hyperlink ref="K66" r:id="rId294" display="http://www.ncbi.nlm.nih.gov/entrez/query.fcgi?cmd=Retrieve&amp;db=PubMed&amp;list_uids=16996408&amp;dopt=Abstract" xr:uid="{02C69C7A-03EF-454E-8689-7341E57ACAD3}"/>
    <hyperlink ref="K284" r:id="rId295" display="https://www.ncbi.nlm.nih.gov/pmc/articles/PMC5764465/" xr:uid="{A19BB259-1449-2348-8E6E-77D279847A83}"/>
    <hyperlink ref="K285" r:id="rId296" display="https://www.ncbi.nlm.nih.gov/pubmed/28448978" xr:uid="{AA9497D1-95C6-2A4E-99D7-674A52D934D5}"/>
    <hyperlink ref="K286" r:id="rId297" display="https://www.ncbi.nlm.nih.gov/pubmed/28438749" xr:uid="{C9FAF881-EAB7-674E-8702-7C6D9944061C}"/>
    <hyperlink ref="K287" r:id="rId298" display="https://www.ncbi.nlm.nih.gov/pubmed/29620072" xr:uid="{4C3C355E-D0E5-F548-BE03-3FC12F7B4008}"/>
    <hyperlink ref="K288" r:id="rId299" display="https://www.ncbi.nlm.nih.gov/pubmed/31039531" xr:uid="{2529A59D-A5F6-674C-A55D-6A9ADB3704CE}"/>
    <hyperlink ref="K289" r:id="rId300" display="https://www.ncbi.nlm.nih.gov/pubmed/31611638" xr:uid="{F07E683C-75D9-2743-8045-2F7483BB22C8}"/>
    <hyperlink ref="K290" r:id="rId301" display="https://www.ncbi.nlm.nih.gov/pubmed/32223977" xr:uid="{F2E05C5C-9615-314E-8579-85862B0D32CF}"/>
    <hyperlink ref="K291" r:id="rId302" display="https://pubmed.ncbi.nlm.nih.gov/34046764/" xr:uid="{9325C57A-752F-A84D-9904-AFB6178BB3B1}"/>
    <hyperlink ref="K355" r:id="rId303" display="http://www.ncbi.nlm.nih.gov/entrez/query.fcgi?cmd=Retrieve&amp;db=PubMed&amp;list_uids=17703343&amp;dopt=Abstract" xr:uid="{3324B784-AC27-FE4F-B5E4-F64284D32138}"/>
    <hyperlink ref="K356" r:id="rId304" display="http://www.ncbi.nlm.nih.gov/pubmed/?term=25828773" xr:uid="{095A2184-444E-0B45-9020-D7F15653AF65}"/>
    <hyperlink ref="K191" r:id="rId305" display="https://www.ncbi.nlm.nih.gov/pubmed/31682229" xr:uid="{75A9241D-8448-1B46-B37B-36963A87CE33}"/>
    <hyperlink ref="K363" r:id="rId306" display="https://pubmed.ncbi.nlm.nih.gov/34865968/" xr:uid="{C3B40CF0-D781-894A-8CE0-C190F3A1F3DD}"/>
    <hyperlink ref="K364" r:id="rId307" display="https://www.mdpi.com/2073-4425/15/3/350" xr:uid="{29F07C6F-44DF-BB49-96ED-87F67B7639C5}"/>
    <hyperlink ref="K357" r:id="rId308" display="http://www.ncbi.nlm.nih.gov/entrez/query.fcgi?cmd=Retrieve&amp;db=PubMed&amp;list_uids=19618846&amp;dopt=Abstract" xr:uid="{56C5E1F6-E458-D646-A594-239FAEDE3FF5}"/>
    <hyperlink ref="K358" r:id="rId309" display="https://www.ncbi.nlm.nih.gov/pubmed/26396075" xr:uid="{E886B49B-441C-8441-B0D7-580A9593ADAB}"/>
    <hyperlink ref="K359" r:id="rId310" display="http://eneuro.org/content/2/5/ENEURO.0080-15.2015" xr:uid="{1770D931-992B-A244-A44F-EBA724868922}"/>
    <hyperlink ref="K365" r:id="rId311" display="https://www.ncbi.nlm.nih.gov/pmc/articles/PMC8201446/" xr:uid="{858EEE5D-8910-F345-B24A-A68A56A98947}"/>
    <hyperlink ref="K269" r:id="rId312" display="https://www.ncbi.nlm.nih.gov/pubmed/28360791" xr:uid="{65CA5133-AAC5-0241-8509-9ABBF66E59FD}"/>
    <hyperlink ref="K112" r:id="rId313" display="http://www.ncbi.nlm.nih.gov/entrez/query.fcgi?cmd=Retrieve&amp;db=PubMed&amp;list_uids=11138011&amp;dopt=Abstract" xr:uid="{734CD70C-A6BE-AD47-8AE6-34114DEA267F}"/>
    <hyperlink ref="K113" r:id="rId314" display="http://www.ncbi.nlm.nih.gov/entrez/query.fcgi?cmd=Retrieve&amp;db=PubMed&amp;list_uids=12034785&amp;dopt=Abstract" xr:uid="{1E247CA3-84D7-D241-8733-ECAFDA306E77}"/>
    <hyperlink ref="K114" r:id="rId315" display="http://www.ncbi.nlm.nih.gov/entrez/query.fcgi?cmd=Retrieve&amp;db=PubMed&amp;list_uids=14550921&amp;dopt=Abstract" xr:uid="{A8EDD72E-2EDA-2648-A923-9B0FD143DD97}"/>
    <hyperlink ref="K115" r:id="rId316" display="http://www.ncbi.nlm.nih.gov/entrez/query.fcgi?cmd=Retrieve&amp;db=PubMed&amp;list_uids=15390001&amp;dopt=Abstract" xr:uid="{A8F7D2B2-79BE-B64A-A847-BB8D285910A4}"/>
    <hyperlink ref="K30" r:id="rId317" display="http://www.ncbi.nlm.nih.gov/entrez/query.fcgi?cmd=Retrieve&amp;db=PubMed&amp;list_uids=15732097&amp;dopt=Abstract" xr:uid="{20045ED6-6B1C-3F44-86BE-193725BEEFF6}"/>
    <hyperlink ref="K116" r:id="rId318" display="http://www.ncbi.nlm.nih.gov/entrez/query.fcgi?cmd=Retrieve&amp;db=PubMed&amp;list_uids=16505300&amp;dopt=Abstract" xr:uid="{90AC82D4-4C3D-7245-97A1-DE8E2AA4FDC0}"/>
    <hyperlink ref="K117" r:id="rId319" display="http://www.ncbi.nlm.nih.gov/pubmed/24742911" xr:uid="{5DDA28C2-BC5B-D44B-BAB9-DE3F04DD8B8A}"/>
    <hyperlink ref="K32" r:id="rId320" display="http://eneuro.org/content/2/5/ENEURO.0080-15.2015" xr:uid="{ABDFCBC9-AE86-3048-9217-42E572565349}"/>
    <hyperlink ref="K118" r:id="rId321" display="https://www.ncbi.nlm.nih.gov/pubmed/?term=27814755" xr:uid="{9E4B9522-39F7-0042-AF95-8E574B57D775}"/>
    <hyperlink ref="K119" r:id="rId322" display="https://www.ncbi.nlm.nih.gov/pubmed/28448978" xr:uid="{6F49F2E1-05CA-8C4D-9960-45062601BE8C}"/>
    <hyperlink ref="K120" r:id="rId323" display="https://www.ncbi.nlm.nih.gov/pubmed/31039531" xr:uid="{7AE6D24A-6029-2047-8839-E86CED9CAFF6}"/>
    <hyperlink ref="K121" r:id="rId324" display="https://pubmed.ncbi.nlm.nih.gov/34692893/" xr:uid="{BEB61B39-A612-EF49-96BA-A6EFBDFD4504}"/>
    <hyperlink ref="K193" r:id="rId325" display="http://www.ncbi.nlm.nih.gov/entrez/query.fcgi?cmd=Retrieve&amp;db=PubMed&amp;list_uids=18054694&amp;dopt=Abstract" xr:uid="{D70CE5EA-E329-CD45-A4AA-6A4F3B696465}"/>
    <hyperlink ref="K194" r:id="rId326" display="http://www.ncbi.nlm.nih.gov/pubmed/22488673" xr:uid="{BF4738B9-E18F-644F-99FC-887F7CBDA2AE}"/>
    <hyperlink ref="K195" r:id="rId327" display="https://pubmed.ncbi.nlm.nih.gov/23890466" xr:uid="{6BDCC975-BAD5-C543-B3F6-6E3EF89BCD7B}"/>
    <hyperlink ref="K192" r:id="rId328" display="http://www.ncbi.nlm.nih.gov/pubmed/21987397" xr:uid="{249B3E81-2A74-1F47-AB87-BFA2EDB0EE36}"/>
    <hyperlink ref="K233" r:id="rId329" display="https://pubmed.ncbi.nlm.nih.gov/34865968/" xr:uid="{57E56E12-2BA9-2847-898E-F30987AC8701}"/>
    <hyperlink ref="K366" r:id="rId330" display="http://www.neurology-asia.org/articles/neuroasia-2023-28(4)-1041.pdf" xr:uid="{37BC082F-57CD-764D-A45E-5F23A40206F1}"/>
    <hyperlink ref="K329" r:id="rId331" display="https://www.ncbi.nlm.nih.gov/pubmed/23634874" xr:uid="{C693356B-711C-D143-8B00-D1FA0AE2C007}"/>
    <hyperlink ref="K330" r:id="rId332" display="https://www.ncbi.nlm.nih.gov/pubmed/30048824" xr:uid="{8849E874-FD4F-DB4B-B01C-67E868221A61}"/>
    <hyperlink ref="K331" r:id="rId333" display="https://www.ncbi.nlm.nih.gov/pubmed/30355306" xr:uid="{6ECA7569-2A46-8A48-BE3F-45CC033381BC}"/>
    <hyperlink ref="K334" r:id="rId334" display="https://www.ncbi.nlm.nih.gov/pubmed/32126152" xr:uid="{C2AE3877-0F61-8040-9C0F-B54EAC241EDA}"/>
    <hyperlink ref="K333" r:id="rId335" display="https://pubmed.ncbi.nlm.nih.gov/34233935/" xr:uid="{6D5E2E39-BC7F-954A-982F-E6D8550104C6}"/>
    <hyperlink ref="K368" r:id="rId336" display="http://www.ncbi.nlm.nih.gov/pubmed/22488673" xr:uid="{B8FE70F3-022B-5A4B-9826-A055A5BA6099}"/>
    <hyperlink ref="K270" r:id="rId337" display="https://www.ncbi.nlm.nih.gov/pubmed/31039531" xr:uid="{A93E3728-6D6D-AA4B-BBFB-4EE6B940B3CB}"/>
    <hyperlink ref="K377" r:id="rId338" display="http://www.ncbi.nlm.nih.gov/pubmed/22488673" xr:uid="{F4C323BB-BB8F-AD46-84C2-CF7DC63765EC}"/>
    <hyperlink ref="K378" r:id="rId339" display="https://pubmed.ncbi.nlm.nih.gov/34245630/" xr:uid="{3E2A5BEB-7CF6-9D4A-AF9B-BC2539104978}"/>
    <hyperlink ref="K379" r:id="rId340" display="http://www.ncbi.nlm.nih.gov/pubmed/24306001" xr:uid="{A46CCB16-A781-D145-90A3-7C9466E0361B}"/>
    <hyperlink ref="K227" r:id="rId341" display="https://www.ncbi.nlm.nih.gov/pubmed/29253910" xr:uid="{9D3F4B05-A6D4-2E4E-A3C2-9BE489BB0D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1st rep</vt:lpstr>
      <vt:lpstr>2nd rep May 17</vt:lpstr>
      <vt:lpstr>Average</vt:lpstr>
      <vt:lpstr>Location annotations</vt:lpstr>
      <vt:lpstr>Phenotypes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Lacoste</dc:creator>
  <cp:lastModifiedBy>Mikko Taipale</cp:lastModifiedBy>
  <dcterms:created xsi:type="dcterms:W3CDTF">2024-06-03T14:27:11Z</dcterms:created>
  <dcterms:modified xsi:type="dcterms:W3CDTF">2024-07-15T10:46:29Z</dcterms:modified>
</cp:coreProperties>
</file>